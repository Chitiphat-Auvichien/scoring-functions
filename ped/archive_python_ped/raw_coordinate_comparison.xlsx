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0ab3cbee64c81a/Chulalongkorn University/Research/Classifying modes of motion/Github/scoring-functions/ped/"/>
    </mc:Choice>
  </mc:AlternateContent>
  <xr:revisionPtr revIDLastSave="180" documentId="13_ncr:1_{1115488D-11E2-4F6C-AE0B-8607E270D83E}" xr6:coauthVersionLast="47" xr6:coauthVersionMax="47" xr10:uidLastSave="{AB7541F5-1629-4848-AFDA-3231F78B330B}"/>
  <bookViews>
    <workbookView xWindow="-110" yWindow="-110" windowWidth="25820" windowHeight="15500" xr2:uid="{7999A164-6B43-45E1-B635-EF48477122E1}"/>
  </bookViews>
  <sheets>
    <sheet name="Comparison_byFreq" sheetId="6" r:id="rId1"/>
    <sheet name="Comparison" sheetId="5" r:id="rId2"/>
    <sheet name="PED_manual" sheetId="1" r:id="rId3"/>
    <sheet name="TED_VEDA" sheetId="4" r:id="rId4"/>
    <sheet name="PED_VEDA" sheetId="3" r:id="rId5"/>
  </sheets>
  <calcPr calcId="191029"/>
  <pivotCaches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" i="5" l="1"/>
  <c r="K40" i="5"/>
  <c r="K41" i="5"/>
  <c r="K42" i="5"/>
  <c r="K43" i="5"/>
  <c r="K44" i="5"/>
  <c r="K45" i="5"/>
  <c r="K46" i="5"/>
  <c r="K47" i="5"/>
  <c r="K56" i="5"/>
  <c r="K57" i="5"/>
  <c r="K58" i="5"/>
  <c r="K59" i="5"/>
  <c r="K60" i="5"/>
  <c r="K61" i="5"/>
  <c r="K32" i="5"/>
  <c r="K33" i="5"/>
  <c r="K48" i="5"/>
  <c r="K49" i="5"/>
  <c r="L32" i="5"/>
  <c r="L33" i="5"/>
  <c r="L34" i="5"/>
  <c r="L35" i="5"/>
  <c r="L42" i="5"/>
  <c r="L43" i="5"/>
  <c r="L44" i="5"/>
  <c r="L45" i="5"/>
  <c r="L46" i="5"/>
  <c r="L47" i="5"/>
  <c r="L48" i="5"/>
  <c r="L49" i="5"/>
  <c r="L50" i="5"/>
  <c r="L51" i="5"/>
  <c r="L58" i="5"/>
  <c r="L59" i="5"/>
  <c r="L60" i="5"/>
  <c r="L61" i="5"/>
  <c r="L36" i="5"/>
  <c r="L37" i="5"/>
  <c r="L52" i="5"/>
  <c r="L53" i="5"/>
  <c r="L38" i="5"/>
  <c r="L39" i="5"/>
  <c r="L54" i="5"/>
  <c r="L55" i="5"/>
  <c r="K34" i="5"/>
  <c r="K35" i="5"/>
  <c r="K36" i="5"/>
  <c r="K37" i="5"/>
  <c r="K38" i="5"/>
  <c r="K39" i="5"/>
  <c r="K50" i="5"/>
  <c r="K51" i="5"/>
  <c r="K52" i="5"/>
  <c r="K53" i="5"/>
  <c r="K54" i="5"/>
  <c r="K55" i="5"/>
  <c r="L40" i="5"/>
  <c r="L41" i="5"/>
  <c r="L56" i="5"/>
  <c r="L57" i="5"/>
  <c r="AY2" i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R2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J2" i="1"/>
  <c r="J3" i="1"/>
  <c r="J4" i="1"/>
  <c r="J5" i="1"/>
  <c r="J6" i="1"/>
  <c r="J7" i="1"/>
  <c r="J8" i="1"/>
  <c r="J9" i="1"/>
  <c r="J10" i="1"/>
  <c r="J11" i="1"/>
  <c r="J12" i="1"/>
  <c r="AZ12" i="1" s="1"/>
  <c r="J13" i="1"/>
  <c r="J14" i="1"/>
  <c r="J15" i="1"/>
  <c r="AZ15" i="1" s="1"/>
  <c r="J16" i="1"/>
  <c r="AZ16" i="1" s="1"/>
  <c r="J17" i="1"/>
  <c r="J18" i="1"/>
  <c r="J19" i="1"/>
  <c r="J20" i="1"/>
  <c r="J21" i="1"/>
  <c r="J22" i="1"/>
  <c r="J23" i="1"/>
  <c r="J24" i="1"/>
  <c r="J25" i="1"/>
  <c r="J26" i="1"/>
  <c r="J27" i="1"/>
  <c r="J28" i="1"/>
  <c r="AZ28" i="1" s="1"/>
  <c r="J29" i="1"/>
  <c r="J30" i="1"/>
  <c r="J31" i="1"/>
  <c r="AN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J2" i="4"/>
  <c r="AJ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C2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X2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AO24" i="4" l="1"/>
  <c r="AO7" i="4"/>
  <c r="AO25" i="4"/>
  <c r="AO8" i="4"/>
  <c r="AO23" i="4"/>
  <c r="AO26" i="4"/>
  <c r="AO21" i="4"/>
  <c r="AO5" i="4"/>
  <c r="AO18" i="4"/>
  <c r="AO2" i="4"/>
  <c r="AO6" i="4"/>
  <c r="AO4" i="4"/>
  <c r="AO3" i="4"/>
  <c r="AO16" i="4"/>
  <c r="AO31" i="4"/>
  <c r="AO15" i="4"/>
  <c r="AO30" i="4"/>
  <c r="AO14" i="4"/>
  <c r="AO12" i="4"/>
  <c r="AO22" i="4"/>
  <c r="AO20" i="4"/>
  <c r="AO19" i="4"/>
  <c r="AO17" i="4"/>
  <c r="AO29" i="4"/>
  <c r="AO13" i="4"/>
  <c r="AO28" i="4"/>
  <c r="AO27" i="4"/>
  <c r="AO11" i="4"/>
  <c r="AO10" i="4"/>
  <c r="AO9" i="4"/>
  <c r="AZ18" i="1"/>
  <c r="AZ14" i="1"/>
  <c r="AZ17" i="1"/>
  <c r="AZ31" i="1"/>
  <c r="AZ13" i="1"/>
  <c r="AZ30" i="1"/>
  <c r="AZ29" i="1"/>
  <c r="AZ26" i="1"/>
  <c r="AZ10" i="1"/>
  <c r="AZ2" i="1"/>
  <c r="AZ11" i="1"/>
  <c r="AZ25" i="1"/>
  <c r="AZ9" i="1"/>
  <c r="AZ24" i="1"/>
  <c r="AZ8" i="1"/>
  <c r="AZ27" i="1"/>
  <c r="AZ23" i="1"/>
  <c r="AZ7" i="1"/>
  <c r="AZ22" i="1"/>
  <c r="AZ6" i="1"/>
  <c r="AZ21" i="1"/>
  <c r="AZ5" i="1"/>
  <c r="AZ20" i="1"/>
  <c r="AZ4" i="1"/>
  <c r="AZ19" i="1"/>
  <c r="AZ3" i="1"/>
  <c r="L29" i="5"/>
  <c r="K12" i="5"/>
  <c r="L28" i="5"/>
  <c r="L12" i="5"/>
  <c r="L11" i="5"/>
  <c r="L22" i="5"/>
  <c r="K27" i="5"/>
  <c r="L23" i="5"/>
  <c r="L6" i="5"/>
  <c r="L7" i="5"/>
  <c r="L15" i="5"/>
  <c r="L14" i="5"/>
  <c r="L13" i="5"/>
  <c r="K15" i="5"/>
  <c r="L27" i="5"/>
  <c r="K30" i="5"/>
  <c r="K14" i="5"/>
  <c r="K29" i="5"/>
  <c r="K13" i="5"/>
  <c r="K28" i="5"/>
  <c r="L17" i="5"/>
  <c r="L31" i="5"/>
  <c r="L16" i="5"/>
  <c r="L30" i="5"/>
  <c r="L5" i="5"/>
  <c r="L20" i="5"/>
  <c r="K2" i="5"/>
  <c r="K17" i="5"/>
  <c r="L18" i="5"/>
  <c r="K18" i="5"/>
  <c r="K16" i="5"/>
  <c r="L3" i="5"/>
  <c r="L26" i="5"/>
  <c r="L10" i="5"/>
  <c r="L21" i="5"/>
  <c r="K11" i="5"/>
  <c r="L25" i="5"/>
  <c r="L9" i="5"/>
  <c r="L4" i="5"/>
  <c r="L19" i="5"/>
  <c r="L2" i="5"/>
  <c r="K26" i="5"/>
  <c r="K10" i="5"/>
  <c r="L24" i="5"/>
  <c r="L8" i="5"/>
  <c r="K22" i="5"/>
  <c r="K21" i="5"/>
  <c r="K5" i="5"/>
  <c r="K20" i="5"/>
  <c r="K4" i="5"/>
  <c r="K23" i="5"/>
  <c r="K19" i="5"/>
  <c r="K3" i="5"/>
  <c r="K9" i="5"/>
  <c r="K24" i="5"/>
  <c r="K25" i="5"/>
  <c r="K7" i="5"/>
  <c r="K6" i="5"/>
  <c r="K8" i="5"/>
</calcChain>
</file>

<file path=xl/sharedStrings.xml><?xml version="1.0" encoding="utf-8"?>
<sst xmlns="http://schemas.openxmlformats.org/spreadsheetml/2006/main" count="280" uniqueCount="100">
  <si>
    <t>rank</t>
  </si>
  <si>
    <t>freq_gaussian_cm-1</t>
  </si>
  <si>
    <t>freq_veda4_cm-1</t>
  </si>
  <si>
    <t>s1_STRE_CH</t>
  </si>
  <si>
    <t>s2_STRE_CH</t>
  </si>
  <si>
    <t>s3_STRE_CH</t>
  </si>
  <si>
    <t>s4_STRE_CH</t>
  </si>
  <si>
    <t>s5_STRE_CH</t>
  </si>
  <si>
    <t>s6_STRE_CH</t>
  </si>
  <si>
    <t>s7_STRE_CC</t>
  </si>
  <si>
    <t>s8_STRE_CC</t>
  </si>
  <si>
    <t>s9_STRE_CC</t>
  </si>
  <si>
    <t>s10_STRE_CC</t>
  </si>
  <si>
    <t>s11_STRE_CC</t>
  </si>
  <si>
    <t>s12_BEND_CCC</t>
  </si>
  <si>
    <t>s13_BEND_HCC</t>
  </si>
  <si>
    <t>s14_BEND_HCC</t>
  </si>
  <si>
    <t>s15_BEND_HCC</t>
  </si>
  <si>
    <t>s16_BEND_HCC</t>
  </si>
  <si>
    <t>s17_BEND_HCC</t>
  </si>
  <si>
    <t>s18_BEND_HCC</t>
  </si>
  <si>
    <t>s19_BEND_CCC</t>
  </si>
  <si>
    <t>s20_BEND_CCC</t>
  </si>
  <si>
    <t>s21_BEND_CCC</t>
  </si>
  <si>
    <t>s22_TORS_HCCC</t>
  </si>
  <si>
    <t>s23_TORS_HCCC</t>
  </si>
  <si>
    <t>s24_TORS_HCCC</t>
  </si>
  <si>
    <t>s25_TORS_HCCC</t>
  </si>
  <si>
    <t>s26_TORS_HCCC</t>
  </si>
  <si>
    <t>s27_TORS_HCCC</t>
  </si>
  <si>
    <t>s28_TORS_CCCC</t>
  </si>
  <si>
    <t>s29_TORS_CCCC</t>
  </si>
  <si>
    <t>s30_TORS_CCCC</t>
  </si>
  <si>
    <t>CC_stretch_1-2</t>
  </si>
  <si>
    <t>CC_stretch_2-3</t>
  </si>
  <si>
    <t>CC_stretch_3-4</t>
  </si>
  <si>
    <t>CC_stretch_4-5</t>
  </si>
  <si>
    <t>CC_stretch_5-6</t>
  </si>
  <si>
    <t>CC_stretch_6-1</t>
  </si>
  <si>
    <t>CH_stretch_1-7</t>
  </si>
  <si>
    <t>CH_stretch_2-8</t>
  </si>
  <si>
    <t>CH_stretch_3-9</t>
  </si>
  <si>
    <t>CH_stretch_4-10</t>
  </si>
  <si>
    <t>CH_stretch_5-11</t>
  </si>
  <si>
    <t>CH_stretch_6-12</t>
  </si>
  <si>
    <t>CCC_bend_6-1-2</t>
  </si>
  <si>
    <t>CCC_bend_1-2-3</t>
  </si>
  <si>
    <t>CCC_bend_2-3-4</t>
  </si>
  <si>
    <t>CCC_bend_3-4-5</t>
  </si>
  <si>
    <t>CCC_bend_4-5-6</t>
  </si>
  <si>
    <t>CCC_bend_5-6-1</t>
  </si>
  <si>
    <t>CCH_bend_2-1-7</t>
  </si>
  <si>
    <t>CCH_bend_7-1-6</t>
  </si>
  <si>
    <t>CCH_bend_3-2-8</t>
  </si>
  <si>
    <t>CCH_bend_8-2-1</t>
  </si>
  <si>
    <t>CCH_bend_4-3-9</t>
  </si>
  <si>
    <t>CCH_bend_9-3-2</t>
  </si>
  <si>
    <t>CCH_bend_5-4-10</t>
  </si>
  <si>
    <t>CCH_bend_10-4-3</t>
  </si>
  <si>
    <t>CCH_bend_6-5-11</t>
  </si>
  <si>
    <t>CCH_bend_11-5-4</t>
  </si>
  <si>
    <t>CCH_bend_1-6-12</t>
  </si>
  <si>
    <t>CCH_bend_12-6-5</t>
  </si>
  <si>
    <t>ring_torsion_6-1-2-3</t>
  </si>
  <si>
    <t>ring_torsion_1-2-3-4</t>
  </si>
  <si>
    <t>ring_torsion_2-3-4-5</t>
  </si>
  <si>
    <t>ring_torsion_3-4-5-6</t>
  </si>
  <si>
    <t>ring_torsion_4-5-6-1</t>
  </si>
  <si>
    <t>ring_torsion_5-6-1-2</t>
  </si>
  <si>
    <t>CH_wag_oop_6-1-2-7</t>
  </si>
  <si>
    <t>CH_wag_oop_1-2-3-8</t>
  </si>
  <si>
    <t>CH_wag_oop_2-3-4-9</t>
  </si>
  <si>
    <t>CH_wag_oop_3-4-5-10</t>
  </si>
  <si>
    <t>CH_wag_oop_4-5-6-11</t>
  </si>
  <si>
    <t>CH_wag_oop_5-6-1-12</t>
  </si>
  <si>
    <t>ν_CH</t>
  </si>
  <si>
    <t>ν_CC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</si>
  <si>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Tahoma"/>
        <family val="2"/>
        <scheme val="minor"/>
      </rPr>
      <t>_HCC</t>
    </r>
  </si>
  <si>
    <t>δ_CCC</t>
  </si>
  <si>
    <r>
      <rPr>
        <sz val="11"/>
        <color theme="1"/>
        <rFont val="Aptos Narrow"/>
        <family val="2"/>
      </rPr>
      <t>τ</t>
    </r>
    <r>
      <rPr>
        <sz val="11"/>
        <color theme="1"/>
        <rFont val="Tahoma"/>
        <family val="2"/>
        <scheme val="minor"/>
      </rPr>
      <t>_HCCC</t>
    </r>
  </si>
  <si>
    <t>τ_CCCC</t>
  </si>
  <si>
    <t>Total</t>
  </si>
  <si>
    <t>δ_HCC</t>
  </si>
  <si>
    <t>τ_HCCC</t>
  </si>
  <si>
    <t>Row Labels</t>
  </si>
  <si>
    <t>Count of rank</t>
  </si>
  <si>
    <t>Manual</t>
  </si>
  <si>
    <t>VEDA</t>
  </si>
  <si>
    <t>Program</t>
  </si>
  <si>
    <t>S</t>
  </si>
  <si>
    <t>B</t>
  </si>
  <si>
    <t>Column Labels</t>
  </si>
  <si>
    <t>Average of ν_CC</t>
  </si>
  <si>
    <t>Average of ν_CH</t>
  </si>
  <si>
    <t>Average of δ_CCC</t>
  </si>
  <si>
    <t>Average of δ_HCC</t>
  </si>
  <si>
    <t>Average of τ_CCCC</t>
  </si>
  <si>
    <t>Average of τ_HCCC</t>
  </si>
  <si>
    <t>Average of S</t>
  </si>
  <si>
    <t>Average of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</si>
</sst>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theme="1"/>
      <name val="Aptos Narrow"/>
      <family val="2"/>
    </font>
    <font>
      <sz val="8"/>
      <name val="Tahoma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0" xfId="0" applyFont="1" applyFill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0" borderId="10" xfId="0" applyNumberFormat="1" applyBorder="1"/>
    <xf numFmtId="0" fontId="0" fillId="0" borderId="0" xfId="0" applyAlignment="1">
      <alignment horizontal="left"/>
    </xf>
    <xf numFmtId="1" fontId="0" fillId="0" borderId="0" xfId="0" applyNumberFormat="1"/>
    <xf numFmtId="1" fontId="0" fillId="0" borderId="10" xfId="0" applyNumberFormat="1" applyBorder="1"/>
    <xf numFmtId="0" fontId="0" fillId="0" borderId="0" xfId="0" pivotButton="1" applyAlignment="1">
      <alignment textRotation="90"/>
    </xf>
    <xf numFmtId="0" fontId="0" fillId="0" borderId="0" xfId="0" applyAlignment="1">
      <alignment textRotation="90"/>
    </xf>
    <xf numFmtId="0" fontId="0" fillId="0" borderId="0" xfId="0" applyBorder="1"/>
    <xf numFmtId="0" fontId="0" fillId="0" borderId="10" xfId="0" applyBorder="1" applyAlignment="1">
      <alignment textRotation="90"/>
    </xf>
    <xf numFmtId="0" fontId="0" fillId="0" borderId="0" xfId="0" applyBorder="1" applyAlignment="1">
      <alignment textRotation="90"/>
    </xf>
    <xf numFmtId="1" fontId="0" fillId="0" borderId="0" xfId="0" applyNumberFormat="1" applyBorder="1"/>
    <xf numFmtId="0" fontId="0" fillId="0" borderId="10" xfId="0" pivotButton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textRotation="90"/>
    </dxf>
    <dxf>
      <alignment textRotation="90"/>
    </dxf>
    <dxf>
      <alignment textRotation="9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36.78282025463" createdVersion="8" refreshedVersion="8" minRefreshableVersion="3" recordCount="60" xr:uid="{08E42B94-5174-4DFE-AB94-D87FB6D10F19}">
  <cacheSource type="worksheet">
    <worksheetSource name="Table4"/>
  </cacheSource>
  <cacheFields count="12">
    <cacheField name="rank" numFmtId="0">
      <sharedItems containsSemiMixedTypes="0" containsString="0" containsNumber="1" containsInteger="1" minValue="1" maxValue="30"/>
    </cacheField>
    <cacheField name="freq_gaussian_cm-1" numFmtId="0">
      <sharedItems containsSemiMixedTypes="0" containsString="0" containsNumber="1" minValue="411.98469999999998" maxValue="3223.1696000000002" count="20">
        <n v="3223.1696000000002"/>
        <n v="3209.6325000000002"/>
        <n v="3191.8910000000001"/>
        <n v="3182.2914999999998"/>
        <n v="1598.8987"/>
        <n v="1532.8465000000001"/>
        <n v="1435.4835"/>
        <n v="1319.2684999999999"/>
        <n v="1247.1403"/>
        <n v="1237.2932000000001"/>
        <n v="1067.4649999999999"/>
        <n v="1056.3901000000001"/>
        <n v="992.58299999999997"/>
        <n v="933.5249"/>
        <n v="931.24170000000004"/>
        <n v="852.23140000000001"/>
        <n v="684.1694"/>
        <n v="678.16520000000003"/>
        <n v="645.89260000000002"/>
        <n v="411.98469999999998"/>
      </sharedItems>
    </cacheField>
    <cacheField name="freq_veda4_cm-1" numFmtId="0">
      <sharedItems containsSemiMixedTypes="0" containsString="0" containsNumber="1" minValue="412.12" maxValue="3223.49"/>
    </cacheField>
    <cacheField name="Program" numFmtId="0">
      <sharedItems count="2">
        <s v="Manual"/>
        <s v="VEDA"/>
      </sharedItems>
    </cacheField>
    <cacheField name="ν_CC" numFmtId="1">
      <sharedItems containsSemiMixedTypes="0" containsString="0" containsNumber="1" minValue="0" maxValue="99.239999999999981"/>
    </cacheField>
    <cacheField name="ν_CH" numFmtId="1">
      <sharedItems containsSemiMixedTypes="0" containsString="0" containsNumber="1" minValue="0" maxValue="100"/>
    </cacheField>
    <cacheField name="δ_CCC" numFmtId="1">
      <sharedItems containsSemiMixedTypes="0" containsString="0" containsNumber="1" minValue="-8" maxValue="100"/>
    </cacheField>
    <cacheField name="δ_HCC" numFmtId="1">
      <sharedItems containsSemiMixedTypes="0" containsString="0" containsNumber="1" minValue="0" maxValue="100"/>
    </cacheField>
    <cacheField name="τ_CCCC" numFmtId="1">
      <sharedItems containsSemiMixedTypes="0" containsString="0" containsNumber="1" minValue="-21.419999999999998" maxValue="121.38000000000001"/>
    </cacheField>
    <cacheField name="τ_HCCC" numFmtId="1">
      <sharedItems containsSemiMixedTypes="0" containsString="0" containsNumber="1" minValue="-21.36" maxValue="121.43999999999998"/>
    </cacheField>
    <cacheField name="S" numFmtId="1">
      <sharedItems containsSemiMixedTypes="0" containsString="0" containsNumber="1" minValue="0" maxValue="100.01999999999998"/>
    </cacheField>
    <cacheField name="B" numFmtId="1">
      <sharedItems containsSemiMixedTypes="0" containsString="0" containsNumber="1" minValue="0" maxValue="1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x v="0"/>
    <n v="3223.49"/>
    <x v="0"/>
    <n v="0.78"/>
    <n v="99.18"/>
    <n v="0"/>
    <n v="0"/>
    <n v="0"/>
    <n v="0"/>
    <n v="99.960000000000008"/>
    <n v="0"/>
  </r>
  <r>
    <n v="2"/>
    <x v="1"/>
    <n v="3210.47"/>
    <x v="0"/>
    <n v="0.24000000000000002"/>
    <n v="99.47999999999999"/>
    <n v="0.12"/>
    <n v="0.12"/>
    <n v="0"/>
    <n v="0"/>
    <n v="99.719999999999985"/>
    <n v="0.24"/>
  </r>
  <r>
    <n v="3"/>
    <x v="1"/>
    <n v="3210.45"/>
    <x v="0"/>
    <n v="0.26"/>
    <n v="99.47999999999999"/>
    <n v="0.12"/>
    <n v="0.12"/>
    <n v="0"/>
    <n v="0"/>
    <n v="99.74"/>
    <n v="0.24"/>
  </r>
  <r>
    <n v="4"/>
    <x v="2"/>
    <n v="3192.2"/>
    <x v="0"/>
    <n v="9.9999999999999992E-2"/>
    <n v="99.82"/>
    <n v="0.02"/>
    <n v="0.04"/>
    <n v="0"/>
    <n v="0"/>
    <n v="99.919999999999987"/>
    <n v="0.06"/>
  </r>
  <r>
    <n v="5"/>
    <x v="2"/>
    <n v="3192.19"/>
    <x v="0"/>
    <n v="0.1"/>
    <n v="99.800000000000011"/>
    <n v="0.04"/>
    <n v="6.0000000000000005E-2"/>
    <n v="0"/>
    <n v="0"/>
    <n v="99.9"/>
    <n v="0.1"/>
  </r>
  <r>
    <n v="6"/>
    <x v="3"/>
    <n v="3182.59"/>
    <x v="0"/>
    <n v="0"/>
    <n v="99.9"/>
    <n v="6.0000000000000005E-2"/>
    <n v="0"/>
    <n v="0"/>
    <n v="0"/>
    <n v="99.9"/>
    <n v="6.0000000000000005E-2"/>
  </r>
  <r>
    <n v="7"/>
    <x v="4"/>
    <n v="1599.51"/>
    <x v="0"/>
    <n v="59.66"/>
    <n v="0.19999999999999998"/>
    <n v="6.74"/>
    <n v="33.44"/>
    <n v="0"/>
    <n v="0"/>
    <n v="59.86"/>
    <n v="40.18"/>
  </r>
  <r>
    <n v="8"/>
    <x v="4"/>
    <n v="1599.51"/>
    <x v="0"/>
    <n v="59.66"/>
    <n v="0.18"/>
    <n v="6.72"/>
    <n v="33.44"/>
    <n v="0"/>
    <n v="0"/>
    <n v="59.839999999999996"/>
    <n v="40.159999999999997"/>
  </r>
  <r>
    <n v="9"/>
    <x v="5"/>
    <n v="1533.43"/>
    <x v="0"/>
    <n v="12.940000000000001"/>
    <n v="0.28000000000000003"/>
    <n v="6.52"/>
    <n v="80.240000000000009"/>
    <n v="0"/>
    <n v="0"/>
    <n v="13.22"/>
    <n v="86.76"/>
  </r>
  <r>
    <n v="10"/>
    <x v="5"/>
    <n v="1533.4"/>
    <x v="0"/>
    <n v="12.919999999999998"/>
    <n v="0.28000000000000003"/>
    <n v="6.5400000000000009"/>
    <n v="80.239999999999995"/>
    <n v="0"/>
    <n v="0"/>
    <n v="13.199999999999998"/>
    <n v="86.78"/>
  </r>
  <r>
    <n v="11"/>
    <x v="6"/>
    <n v="1436.29"/>
    <x v="0"/>
    <n v="0"/>
    <n v="0"/>
    <n v="0"/>
    <n v="99.96"/>
    <n v="0"/>
    <n v="0"/>
    <n v="0"/>
    <n v="99.96"/>
  </r>
  <r>
    <n v="12"/>
    <x v="7"/>
    <n v="1319.75"/>
    <x v="0"/>
    <n v="64.5"/>
    <n v="0"/>
    <n v="0"/>
    <n v="35.520000000000003"/>
    <n v="0"/>
    <n v="0"/>
    <n v="64.5"/>
    <n v="35.520000000000003"/>
  </r>
  <r>
    <n v="13"/>
    <x v="8"/>
    <n v="1247.31"/>
    <x v="0"/>
    <n v="33.18"/>
    <n v="0"/>
    <n v="-0.74"/>
    <n v="67.540000000000006"/>
    <n v="0"/>
    <n v="0"/>
    <n v="33.18"/>
    <n v="66.800000000000011"/>
  </r>
  <r>
    <n v="14"/>
    <x v="8"/>
    <n v="1247.3"/>
    <x v="0"/>
    <n v="33.18"/>
    <n v="0"/>
    <n v="-0.76"/>
    <n v="67.56"/>
    <n v="0"/>
    <n v="0"/>
    <n v="33.18"/>
    <n v="66.8"/>
  </r>
  <r>
    <n v="15"/>
    <x v="9"/>
    <n v="1237.48"/>
    <x v="0"/>
    <n v="35.58"/>
    <n v="0"/>
    <n v="0"/>
    <n v="64.439999999999984"/>
    <n v="0"/>
    <n v="0"/>
    <n v="35.58"/>
    <n v="64.439999999999984"/>
  </r>
  <r>
    <n v="16"/>
    <x v="10"/>
    <n v="1067.92"/>
    <x v="0"/>
    <n v="0"/>
    <n v="6.0000000000000005E-2"/>
    <n v="66.599999999999994"/>
    <n v="33.360000000000007"/>
    <n v="0"/>
    <n v="0"/>
    <n v="6.0000000000000005E-2"/>
    <n v="99.960000000000008"/>
  </r>
  <r>
    <n v="17"/>
    <x v="11"/>
    <n v="1056.73"/>
    <x v="0"/>
    <n v="43.74"/>
    <n v="0.22"/>
    <n v="22.080000000000002"/>
    <n v="33.96"/>
    <n v="0"/>
    <n v="0"/>
    <n v="43.96"/>
    <n v="56.040000000000006"/>
  </r>
  <r>
    <n v="18"/>
    <x v="11"/>
    <n v="1056.71"/>
    <x v="0"/>
    <n v="43.739999999999995"/>
    <n v="0.21999999999999997"/>
    <n v="22.08"/>
    <n v="33.959999999999994"/>
    <n v="0"/>
    <n v="0"/>
    <n v="43.959999999999994"/>
    <n v="56.039999999999992"/>
  </r>
  <r>
    <n v="19"/>
    <x v="12"/>
    <n v="993"/>
    <x v="0"/>
    <n v="99.239999999999981"/>
    <n v="0.78"/>
    <n v="0"/>
    <n v="0"/>
    <n v="0"/>
    <n v="0"/>
    <n v="100.01999999999998"/>
    <n v="0"/>
  </r>
  <r>
    <n v="20"/>
    <x v="13"/>
    <n v="933.6"/>
    <x v="0"/>
    <n v="0"/>
    <n v="0"/>
    <n v="0"/>
    <n v="0"/>
    <n v="-21.419999999999998"/>
    <n v="121.43999999999998"/>
    <n v="0"/>
    <n v="100.01999999999998"/>
  </r>
  <r>
    <n v="21"/>
    <x v="14"/>
    <n v="931.41"/>
    <x v="0"/>
    <n v="0"/>
    <n v="0"/>
    <n v="0"/>
    <n v="0"/>
    <n v="-15.28"/>
    <n v="115.28"/>
    <n v="0"/>
    <n v="100"/>
  </r>
  <r>
    <n v="22"/>
    <x v="14"/>
    <n v="931.4"/>
    <x v="0"/>
    <n v="0"/>
    <n v="0"/>
    <n v="0"/>
    <n v="0"/>
    <n v="-15.280000000000001"/>
    <n v="115.28"/>
    <n v="0"/>
    <n v="100"/>
  </r>
  <r>
    <n v="23"/>
    <x v="15"/>
    <n v="852.72"/>
    <x v="0"/>
    <n v="0"/>
    <n v="0"/>
    <n v="0"/>
    <n v="0"/>
    <n v="0"/>
    <n v="100"/>
    <n v="0"/>
    <n v="100"/>
  </r>
  <r>
    <n v="24"/>
    <x v="15"/>
    <n v="852.7"/>
    <x v="0"/>
    <n v="0"/>
    <n v="0"/>
    <n v="0"/>
    <n v="0"/>
    <n v="0"/>
    <n v="100"/>
    <n v="0"/>
    <n v="100"/>
  </r>
  <r>
    <n v="25"/>
    <x v="16"/>
    <n v="684.48"/>
    <x v="0"/>
    <n v="0"/>
    <n v="0"/>
    <n v="0"/>
    <n v="0"/>
    <n v="0"/>
    <n v="100.02000000000001"/>
    <n v="0"/>
    <n v="100.02000000000001"/>
  </r>
  <r>
    <n v="26"/>
    <x v="17"/>
    <n v="678.46"/>
    <x v="0"/>
    <n v="0"/>
    <n v="0"/>
    <n v="0"/>
    <n v="0"/>
    <n v="121.38000000000001"/>
    <n v="-21.36"/>
    <n v="0"/>
    <n v="100.02000000000001"/>
  </r>
  <r>
    <n v="27"/>
    <x v="18"/>
    <n v="646.16999999999996"/>
    <x v="0"/>
    <n v="7.1"/>
    <n v="0"/>
    <n v="60.680000000000007"/>
    <n v="32.24"/>
    <n v="0"/>
    <n v="0"/>
    <n v="7.1"/>
    <n v="92.920000000000016"/>
  </r>
  <r>
    <n v="28"/>
    <x v="18"/>
    <n v="646.16"/>
    <x v="0"/>
    <n v="7.12"/>
    <n v="0"/>
    <n v="60.64"/>
    <n v="32.24"/>
    <n v="0"/>
    <n v="0"/>
    <n v="7.12"/>
    <n v="92.88"/>
  </r>
  <r>
    <n v="29"/>
    <x v="19"/>
    <n v="412.13"/>
    <x v="0"/>
    <n v="0"/>
    <n v="0"/>
    <n v="0"/>
    <n v="0"/>
    <n v="115.24"/>
    <n v="-15.260000000000002"/>
    <n v="0"/>
    <n v="99.97999999999999"/>
  </r>
  <r>
    <n v="30"/>
    <x v="19"/>
    <n v="412.12"/>
    <x v="0"/>
    <n v="0"/>
    <n v="0"/>
    <n v="0"/>
    <n v="0"/>
    <n v="115.24"/>
    <n v="-15.26"/>
    <n v="0"/>
    <n v="99.97999999999999"/>
  </r>
  <r>
    <n v="1"/>
    <x v="0"/>
    <n v="3223.49"/>
    <x v="1"/>
    <n v="1"/>
    <n v="99"/>
    <n v="0"/>
    <n v="0"/>
    <n v="0"/>
    <n v="0"/>
    <n v="100"/>
    <n v="0"/>
  </r>
  <r>
    <n v="2"/>
    <x v="1"/>
    <n v="3210.47"/>
    <x v="1"/>
    <n v="0"/>
    <n v="99"/>
    <n v="0"/>
    <n v="0"/>
    <n v="0"/>
    <n v="0"/>
    <n v="99"/>
    <n v="0"/>
  </r>
  <r>
    <n v="3"/>
    <x v="1"/>
    <n v="3210.45"/>
    <x v="1"/>
    <n v="0"/>
    <n v="99"/>
    <n v="0"/>
    <n v="0"/>
    <n v="0"/>
    <n v="0"/>
    <n v="99"/>
    <n v="0"/>
  </r>
  <r>
    <n v="4"/>
    <x v="2"/>
    <n v="3192.2"/>
    <x v="1"/>
    <n v="0"/>
    <n v="100"/>
    <n v="0"/>
    <n v="0"/>
    <n v="0"/>
    <n v="0"/>
    <n v="100"/>
    <n v="0"/>
  </r>
  <r>
    <n v="5"/>
    <x v="2"/>
    <n v="3192.19"/>
    <x v="1"/>
    <n v="0"/>
    <n v="100"/>
    <n v="0"/>
    <n v="0"/>
    <n v="0"/>
    <n v="0"/>
    <n v="100"/>
    <n v="0"/>
  </r>
  <r>
    <n v="6"/>
    <x v="3"/>
    <n v="3182.59"/>
    <x v="1"/>
    <n v="0"/>
    <n v="100"/>
    <n v="0"/>
    <n v="0"/>
    <n v="0"/>
    <n v="0"/>
    <n v="100"/>
    <n v="0"/>
  </r>
  <r>
    <n v="7"/>
    <x v="4"/>
    <n v="1599.51"/>
    <x v="1"/>
    <n v="60"/>
    <n v="0"/>
    <n v="7"/>
    <n v="32"/>
    <n v="0"/>
    <n v="0"/>
    <n v="60"/>
    <n v="39"/>
  </r>
  <r>
    <n v="8"/>
    <x v="4"/>
    <n v="1599.51"/>
    <x v="1"/>
    <n v="60"/>
    <n v="0"/>
    <n v="13"/>
    <n v="28"/>
    <n v="0"/>
    <n v="0"/>
    <n v="60"/>
    <n v="41"/>
  </r>
  <r>
    <n v="9"/>
    <x v="5"/>
    <n v="1533.43"/>
    <x v="1"/>
    <n v="5"/>
    <n v="0"/>
    <n v="19"/>
    <n v="76"/>
    <n v="0"/>
    <n v="0"/>
    <n v="5"/>
    <n v="95"/>
  </r>
  <r>
    <n v="10"/>
    <x v="5"/>
    <n v="1533.4"/>
    <x v="1"/>
    <n v="6"/>
    <n v="0"/>
    <n v="16"/>
    <n v="79"/>
    <n v="0"/>
    <n v="0"/>
    <n v="6"/>
    <n v="95"/>
  </r>
  <r>
    <n v="11"/>
    <x v="6"/>
    <n v="1436.29"/>
    <x v="1"/>
    <n v="0"/>
    <n v="0"/>
    <n v="0"/>
    <n v="100"/>
    <n v="0"/>
    <n v="0"/>
    <n v="0"/>
    <n v="100"/>
  </r>
  <r>
    <n v="12"/>
    <x v="7"/>
    <n v="1319.75"/>
    <x v="1"/>
    <n v="65"/>
    <n v="0"/>
    <n v="0"/>
    <n v="35"/>
    <n v="0"/>
    <n v="0"/>
    <n v="65"/>
    <n v="35"/>
  </r>
  <r>
    <n v="13"/>
    <x v="8"/>
    <n v="1247.31"/>
    <x v="1"/>
    <n v="34"/>
    <n v="0"/>
    <n v="-2"/>
    <n v="69"/>
    <n v="0"/>
    <n v="0"/>
    <n v="34"/>
    <n v="67"/>
  </r>
  <r>
    <n v="14"/>
    <x v="8"/>
    <n v="1247.3"/>
    <x v="1"/>
    <n v="33"/>
    <n v="0"/>
    <n v="0"/>
    <n v="67"/>
    <n v="0"/>
    <n v="0"/>
    <n v="33"/>
    <n v="67"/>
  </r>
  <r>
    <n v="15"/>
    <x v="9"/>
    <n v="1237.48"/>
    <x v="1"/>
    <n v="35"/>
    <n v="0"/>
    <n v="0"/>
    <n v="65"/>
    <n v="0"/>
    <n v="0"/>
    <n v="35"/>
    <n v="65"/>
  </r>
  <r>
    <n v="16"/>
    <x v="10"/>
    <n v="1067.92"/>
    <x v="1"/>
    <n v="0"/>
    <n v="0"/>
    <n v="100"/>
    <n v="0"/>
    <n v="0"/>
    <n v="0"/>
    <n v="0"/>
    <n v="100"/>
  </r>
  <r>
    <n v="17"/>
    <x v="11"/>
    <n v="1056.73"/>
    <x v="1"/>
    <n v="87"/>
    <n v="0"/>
    <n v="-8"/>
    <n v="20"/>
    <n v="0"/>
    <n v="0"/>
    <n v="87"/>
    <n v="12"/>
  </r>
  <r>
    <n v="18"/>
    <x v="11"/>
    <n v="1056.71"/>
    <x v="1"/>
    <n v="1"/>
    <n v="0"/>
    <n v="75"/>
    <n v="24"/>
    <n v="0"/>
    <n v="0"/>
    <n v="1"/>
    <n v="99"/>
  </r>
  <r>
    <n v="19"/>
    <x v="12"/>
    <n v="993"/>
    <x v="1"/>
    <n v="99"/>
    <n v="1"/>
    <n v="0"/>
    <n v="0"/>
    <n v="0"/>
    <n v="0"/>
    <n v="100"/>
    <n v="0"/>
  </r>
  <r>
    <n v="20"/>
    <x v="13"/>
    <n v="933.6"/>
    <x v="1"/>
    <n v="0"/>
    <n v="0"/>
    <n v="0"/>
    <n v="0"/>
    <n v="9"/>
    <n v="91"/>
    <n v="0"/>
    <n v="100"/>
  </r>
  <r>
    <n v="21"/>
    <x v="14"/>
    <n v="931.41"/>
    <x v="1"/>
    <n v="0"/>
    <n v="0"/>
    <n v="0"/>
    <n v="0"/>
    <n v="21"/>
    <n v="80"/>
    <n v="0"/>
    <n v="101"/>
  </r>
  <r>
    <n v="22"/>
    <x v="14"/>
    <n v="931.4"/>
    <x v="1"/>
    <n v="0"/>
    <n v="0"/>
    <n v="0"/>
    <n v="0"/>
    <n v="9"/>
    <n v="91"/>
    <n v="0"/>
    <n v="100"/>
  </r>
  <r>
    <n v="23"/>
    <x v="15"/>
    <n v="852.72"/>
    <x v="1"/>
    <n v="0"/>
    <n v="0"/>
    <n v="0"/>
    <n v="0"/>
    <n v="0"/>
    <n v="100"/>
    <n v="0"/>
    <n v="100"/>
  </r>
  <r>
    <n v="24"/>
    <x v="15"/>
    <n v="852.7"/>
    <x v="1"/>
    <n v="0"/>
    <n v="0"/>
    <n v="0"/>
    <n v="0"/>
    <n v="0"/>
    <n v="100"/>
    <n v="0"/>
    <n v="100"/>
  </r>
  <r>
    <n v="25"/>
    <x v="16"/>
    <n v="684.48"/>
    <x v="1"/>
    <n v="0"/>
    <n v="0"/>
    <n v="0"/>
    <n v="0"/>
    <n v="0"/>
    <n v="100"/>
    <n v="0"/>
    <n v="100"/>
  </r>
  <r>
    <n v="26"/>
    <x v="17"/>
    <n v="678.46"/>
    <x v="1"/>
    <n v="0"/>
    <n v="0"/>
    <n v="0"/>
    <n v="0"/>
    <n v="91"/>
    <n v="9"/>
    <n v="0"/>
    <n v="100"/>
  </r>
  <r>
    <n v="27"/>
    <x v="18"/>
    <n v="646.16999999999996"/>
    <x v="1"/>
    <n v="6"/>
    <n v="0"/>
    <n v="92"/>
    <n v="1"/>
    <n v="0"/>
    <n v="0"/>
    <n v="6"/>
    <n v="93"/>
  </r>
  <r>
    <n v="28"/>
    <x v="18"/>
    <n v="646.16"/>
    <x v="1"/>
    <n v="7"/>
    <n v="0"/>
    <n v="90"/>
    <n v="3"/>
    <n v="0"/>
    <n v="0"/>
    <n v="7"/>
    <n v="93"/>
  </r>
  <r>
    <n v="29"/>
    <x v="19"/>
    <n v="412.13"/>
    <x v="1"/>
    <n v="0"/>
    <n v="0"/>
    <n v="0"/>
    <n v="0"/>
    <n v="87"/>
    <n v="11"/>
    <n v="0"/>
    <n v="98"/>
  </r>
  <r>
    <n v="30"/>
    <x v="19"/>
    <n v="412.12"/>
    <x v="1"/>
    <n v="0"/>
    <n v="0"/>
    <n v="0"/>
    <n v="0"/>
    <n v="83"/>
    <n v="17"/>
    <n v="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D29B2-9C23-4E12-9D27-C3F5E26B741D}" name="PivotTable1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S25" firstHeaderRow="1" firstDataRow="3" firstDataCol="1"/>
  <pivotFields count="12">
    <pivotField dataField="1" showAll="0" defaultSubtotal="0"/>
    <pivotField axis="axisRow" showAll="0" defaultSubtotal="0">
      <items count="20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showAll="0" defaultSubtotal="0"/>
    <pivotField axis="axisCol" showAll="0" defaultSubtotal="0">
      <items count="2">
        <item x="0"/>
        <item x="1"/>
      </items>
    </pivotField>
    <pivotField dataField="1" numFmtId="1" showAll="0" defaultSubtotal="0"/>
    <pivotField dataField="1" numFmtId="1" showAll="0" defaultSubtotal="0"/>
    <pivotField dataField="1" numFmtId="1" showAll="0" defaultSubtotal="0"/>
    <pivotField dataField="1" numFmtId="1" showAll="0" defaultSubtotal="0"/>
    <pivotField dataField="1" numFmtId="1" showAll="0" defaultSubtotal="0"/>
    <pivotField dataField="1" numFmtId="1" showAll="0" defaultSubtotal="0"/>
    <pivotField dataField="1" numFmtId="1" showAll="0" defaultSubtotal="0"/>
    <pivotField dataField="1" numFmtId="1" showAll="0" defaultSubtota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Fields count="2">
    <field x="3"/>
    <field x="-2"/>
  </colFields>
  <colItems count="18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</colItems>
  <dataFields count="9">
    <dataField name="Count of rank" fld="0" subtotal="count" baseField="1" baseItem="0"/>
    <dataField name="Average of ν_CC" fld="4" subtotal="average" baseField="1" baseItem="5" numFmtId="1"/>
    <dataField name="Average of ν_CH" fld="5" subtotal="average" baseField="1" baseItem="6" numFmtId="1"/>
    <dataField name="Average of δ_CCC" fld="6" subtotal="average" baseField="1" baseItem="6" numFmtId="1"/>
    <dataField name="Average of δ_HCC" fld="7" subtotal="average" baseField="1" baseItem="6" numFmtId="1"/>
    <dataField name="Average of τ_CCCC" fld="8" subtotal="average" baseField="1" baseItem="6" numFmtId="1"/>
    <dataField name="Average of τ_HCCC" fld="9" subtotal="average" baseField="1" baseItem="6" numFmtId="1"/>
    <dataField name="Average of S" fld="10" subtotal="average" baseField="1" baseItem="6" numFmtId="1"/>
    <dataField name="Average of B" fld="11" subtotal="average" baseField="1" baseItem="6" numFmtId="1"/>
  </dataFields>
  <formats count="12">
    <format dxfId="11">
      <pivotArea field="1" type="button" dataOnly="0" labelOnly="1" outline="0" axis="axisRow" fieldPosition="0"/>
    </format>
    <format dxfId="10">
      <pivotArea dataOnly="0" labelOnly="1" outline="0" fieldPosition="0">
        <references count="2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  <reference field="3" count="1" selected="0">
            <x v="0"/>
          </reference>
        </references>
      </pivotArea>
    </format>
    <format dxfId="9">
      <pivotArea dataOnly="0" labelOnly="1" outline="0" fieldPosition="0">
        <references count="2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  <reference field="3" count="1" selected="0">
            <x v="1"/>
          </reference>
        </references>
      </pivotArea>
    </format>
    <format dxfId="8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7">
      <pivotArea type="topRight" dataOnly="0" labelOnly="1" outline="0" offset="H1:P1" fieldPosition="0"/>
    </format>
    <format dxfId="6">
      <pivotArea dataOnly="0" labelOnly="1" fieldPosition="0">
        <references count="1">
          <reference field="3" count="1">
            <x v="1"/>
          </reference>
        </references>
      </pivotArea>
    </format>
    <format dxfId="5">
      <pivotArea dataOnly="0" labelOnly="1" outline="0" fieldPosition="0">
        <references count="2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  <reference field="3" count="1" selected="0">
            <x v="1"/>
          </reference>
        </references>
      </pivotArea>
    </format>
    <format dxfId="4">
      <pivotArea outline="0" collapsedLevelsAreSubtotals="1" fieldPosition="0">
        <references count="2">
          <reference field="4294967294" count="2" selected="0">
            <x v="0"/>
            <x v="1"/>
          </reference>
          <reference field="3" count="1" selected="0">
            <x v="0"/>
          </reference>
        </references>
      </pivotArea>
    </format>
    <format dxfId="3">
      <pivotArea field="3" type="button" dataOnly="0" labelOnly="1" outline="0" axis="axisCol" fieldPosition="0"/>
    </format>
    <format dxfId="2">
      <pivotArea field="-2" type="button" dataOnly="0" labelOnly="1" outline="0" axis="axisCol" fieldPosition="1"/>
    </format>
    <format dxfId="1">
      <pivotArea dataOnly="0" labelOnly="1" offset="A256:B256" fieldPosition="0">
        <references count="1">
          <reference field="3" count="1">
            <x v="0"/>
          </reference>
        </references>
      </pivotArea>
    </format>
    <format dxfId="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</formats>
  <conditionalFormats count="4">
    <conditionalFormat priority="4">
      <pivotAreas count="1">
        <pivotArea type="data" outline="0" collapsedLevelsAreSubtotals="1" fieldPosition="0">
          <references count="2">
            <reference field="4294967294" count="6" selected="0">
              <x v="1"/>
              <x v="2"/>
              <x v="3"/>
              <x v="4"/>
              <x v="5"/>
              <x v="6"/>
            </reference>
            <reference field="3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6" selected="0">
              <x v="1"/>
              <x v="2"/>
              <x v="3"/>
              <x v="4"/>
              <x v="5"/>
              <x v="6"/>
            </reference>
            <reference field="3" count="1" selected="0"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2" selected="0">
              <x v="7"/>
              <x v="8"/>
            </reference>
            <reference field="3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2">
            <reference field="4294967294" count="2" selected="0">
              <x v="7"/>
              <x v="8"/>
            </reference>
            <reference field="3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A749A1-4A4C-4ECE-811F-8008B6F4BA8E}" name="Table4" displayName="Table4" ref="A1:L61" totalsRowShown="0">
  <autoFilter ref="A1:L61" xr:uid="{77A749A1-4A4C-4ECE-811F-8008B6F4BA8E}"/>
  <tableColumns count="12">
    <tableColumn id="1" xr3:uid="{89FB7E96-663C-4AFF-9F80-ABF9F9E2FBAC}" name="rank"/>
    <tableColumn id="2" xr3:uid="{B3733FC5-DC42-4015-AC67-3FDB4AF6145F}" name="freq_gaussian_cm-1"/>
    <tableColumn id="3" xr3:uid="{1629F98D-5C15-4C30-805A-970D7F1ED85E}" name="freq_veda4_cm-1"/>
    <tableColumn id="20" xr3:uid="{F36DB784-13B2-492B-A827-8CB0CE1C09DD}" name="Program"/>
    <tableColumn id="4" xr3:uid="{7AEBFEAC-CB2F-4AF2-877A-DB3D252E0057}" name="ν_CC" dataDxfId="19">
      <calculatedColumnFormula>_xlfn.XLOOKUP(Table4[[#This Row],[rank]],Manual[rank],Manual[ν_CC],"!",0,1)</calculatedColumnFormula>
    </tableColumn>
    <tableColumn id="5" xr3:uid="{95685344-E0DD-4C16-95AF-0E257D9CF97C}" name="ν_CH" dataDxfId="18">
      <calculatedColumnFormula>_xlfn.XLOOKUP(Table4[[#This Row],[rank]],Manual[rank],Manual[ν_CH],"!",0,1)</calculatedColumnFormula>
    </tableColumn>
    <tableColumn id="6" xr3:uid="{85062326-8C1D-4548-9A72-0DA0187BE634}" name="δ_CCC" dataDxfId="17">
      <calculatedColumnFormula>_xlfn.XLOOKUP(Table4[[#This Row],[rank]],Manual[rank],Manual[δ_CCC],"!",0,1)</calculatedColumnFormula>
    </tableColumn>
    <tableColumn id="7" xr3:uid="{B331B3BA-FA9F-431B-8C30-6505CB563EC6}" name="δ_HCC" dataDxfId="16">
      <calculatedColumnFormula>_xlfn.XLOOKUP(Table4[[#This Row],[rank]],Manual[rank],Manual[δ_HCC],"!",0,1)</calculatedColumnFormula>
    </tableColumn>
    <tableColumn id="8" xr3:uid="{614C8C4F-F4C1-49A5-9D40-558CC24AA85F}" name="τ_CCCC" dataDxfId="15">
      <calculatedColumnFormula>_xlfn.XLOOKUP(Table4[[#This Row],[rank]],Manual[rank],Manual[τ_CCCC],"!",0,1)</calculatedColumnFormula>
    </tableColumn>
    <tableColumn id="9" xr3:uid="{223DC8F0-F2B8-4316-A955-C961F98FF3D2}" name="τ_HCCC" dataDxfId="14">
      <calculatedColumnFormula>_xlfn.XLOOKUP(Table4[[#This Row],[rank]],Manual[rank],Manual[τ_HCCC],"!",0,1)</calculatedColumnFormula>
    </tableColumn>
    <tableColumn id="16" xr3:uid="{7ABDDF6C-2062-4F23-9811-75217E1496B4}" name="S" dataDxfId="13">
      <calculatedColumnFormula>SUM(Table4[[#This Row],[ν_CC]:[ν_CH]])</calculatedColumnFormula>
    </tableColumn>
    <tableColumn id="17" xr3:uid="{A05DBCD2-A951-4378-BBC2-F18476D9F5C0}" name="B" dataDxfId="12">
      <calculatedColumnFormula>SUM(Table4[[#This Row],[δ_CCC]:[τ_HCCC]])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0B0AED-AE76-4A30-9504-9B3BE2DD0AFE}" name="Manual" displayName="Manual" ref="A1:AZ31" totalsRowShown="0">
  <autoFilter ref="A1:AZ31" xr:uid="{B10B0AED-AE76-4A30-9504-9B3BE2DD0AFE}"/>
  <tableColumns count="52">
    <tableColumn id="1" xr3:uid="{B202C71B-929F-4AA2-AE70-A8638022969C}" name="rank"/>
    <tableColumn id="2" xr3:uid="{D3E372D5-FAF0-4AC1-854B-F0FDE070D144}" name="freq_gaussian_cm-1"/>
    <tableColumn id="52" xr3:uid="{9C819671-6AD8-4F57-998A-7486F0918298}" name="Program"/>
    <tableColumn id="3" xr3:uid="{C627E66C-AA47-4132-8734-CB324334C9EB}" name="CC_stretch_1-2"/>
    <tableColumn id="4" xr3:uid="{F38C7A56-24E9-43D0-BF2F-C40D22EC3267}" name="CC_stretch_2-3"/>
    <tableColumn id="5" xr3:uid="{B463CC6A-1660-4D38-8D48-6710D7473177}" name="CC_stretch_3-4"/>
    <tableColumn id="6" xr3:uid="{9ACF0BB6-2635-4955-AE17-F60B28466987}" name="CC_stretch_4-5"/>
    <tableColumn id="7" xr3:uid="{3BEC7E5F-2A9D-46C7-B981-7E997D9EEF36}" name="CC_stretch_5-6"/>
    <tableColumn id="8" xr3:uid="{53380D42-453B-47C6-A5BE-F0D99E4FB834}" name="CC_stretch_6-1"/>
    <tableColumn id="45" xr3:uid="{97F8696E-DCAC-44E4-8533-F449C37C7747}" name="ν_CC" dataDxfId="33">
      <calculatedColumnFormula>SUM(Manual[[#This Row],[CC_stretch_1-2]:[CC_stretch_6-1]])</calculatedColumnFormula>
    </tableColumn>
    <tableColumn id="9" xr3:uid="{B93BD908-3526-48C2-A06B-6F0C404A64EB}" name="CH_stretch_1-7"/>
    <tableColumn id="10" xr3:uid="{90830A07-E5DA-474C-A198-7FA9726E2CED}" name="CH_stretch_2-8"/>
    <tableColumn id="11" xr3:uid="{DC2C1AE1-D140-4973-B0BE-768D362E6C90}" name="CH_stretch_3-9"/>
    <tableColumn id="12" xr3:uid="{BC2CF24C-0221-49FC-AF10-51D47EC12644}" name="CH_stretch_4-10"/>
    <tableColumn id="13" xr3:uid="{7D6851BA-846D-44BD-91BB-E41D3BD86490}" name="CH_stretch_5-11"/>
    <tableColumn id="14" xr3:uid="{CFC17B0B-261C-4696-A6A1-DDC976EAB0E3}" name="CH_stretch_6-12"/>
    <tableColumn id="46" xr3:uid="{A3C271C7-DFC0-49FF-96B6-3999D6EBE1E9}" name="ν_CH" dataDxfId="25">
      <calculatedColumnFormula>SUM(Manual[[#This Row],[CH_stretch_1-7]:[CH_stretch_6-12]])</calculatedColumnFormula>
    </tableColumn>
    <tableColumn id="15" xr3:uid="{4001CAF8-16EE-4BAA-B664-AE6B55A49E5B}" name="CCC_bend_6-1-2"/>
    <tableColumn id="16" xr3:uid="{96E6EC06-53AB-4902-ABB1-BB2FF296A8A8}" name="CCC_bend_1-2-3"/>
    <tableColumn id="17" xr3:uid="{AD08AC57-F379-4BC9-A70B-970A8C3BC67B}" name="CCC_bend_2-3-4"/>
    <tableColumn id="18" xr3:uid="{0CC71477-C27A-460E-B8EE-6AA18C61FB70}" name="CCC_bend_3-4-5"/>
    <tableColumn id="19" xr3:uid="{AA94788E-1723-416B-B4FF-2F2AFBAFC84E}" name="CCC_bend_4-5-6"/>
    <tableColumn id="20" xr3:uid="{B234CDA3-97F2-4CCD-B616-25ADA76C0CEE}" name="CCC_bend_5-6-1"/>
    <tableColumn id="47" xr3:uid="{76C5FC51-7177-42E0-A535-1329DCC9F763}" name="δ_CCC" dataDxfId="24">
      <calculatedColumnFormula>SUM(Manual[[#This Row],[CCC_bend_6-1-2]:[CCC_bend_5-6-1]])</calculatedColumnFormula>
    </tableColumn>
    <tableColumn id="21" xr3:uid="{CA56F08E-7075-4BFF-B6F2-51632DDFB25A}" name="CCH_bend_2-1-7"/>
    <tableColumn id="22" xr3:uid="{94EA19DF-FE8A-4CEA-8A36-CB11A14D78C2}" name="CCH_bend_7-1-6"/>
    <tableColumn id="23" xr3:uid="{7E52D32A-0398-4864-A89A-88906D40C571}" name="CCH_bend_3-2-8"/>
    <tableColumn id="24" xr3:uid="{05F01B24-F76E-42E3-8C3D-BC6778BE8B14}" name="CCH_bend_8-2-1"/>
    <tableColumn id="25" xr3:uid="{94FFD1B6-FBB4-4614-8535-38D6BCEFDB1E}" name="CCH_bend_4-3-9"/>
    <tableColumn id="26" xr3:uid="{6C2803AE-CC0C-45C8-A563-84FCF43F1A68}" name="CCH_bend_9-3-2"/>
    <tableColumn id="27" xr3:uid="{856FECCB-820B-4444-985C-7BFD150EEC85}" name="CCH_bend_5-4-10"/>
    <tableColumn id="28" xr3:uid="{E9AEDBCF-9B37-4264-9BB1-9F58DAAC5F43}" name="CCH_bend_10-4-3"/>
    <tableColumn id="29" xr3:uid="{74742FC0-B8E6-4270-BCE2-8E82B6B58E00}" name="CCH_bend_6-5-11"/>
    <tableColumn id="30" xr3:uid="{3CD879AF-672F-43A5-BF52-367AFFD5978A}" name="CCH_bend_11-5-4"/>
    <tableColumn id="31" xr3:uid="{2200CE79-FE14-468D-AFC8-B9F4DBCB041B}" name="CCH_bend_1-6-12"/>
    <tableColumn id="32" xr3:uid="{E71E1DCB-9684-4F3C-A41A-A424EA4687B6}" name="CCH_bend_12-6-5"/>
    <tableColumn id="48" xr3:uid="{9E561B0A-5CB4-47F7-B8F2-21EFA58DA0BD}" name="δ_HCC" dataDxfId="23">
      <calculatedColumnFormula>SUM(Manual[[#This Row],[CCH_bend_2-1-7]:[CCH_bend_12-6-5]])</calculatedColumnFormula>
    </tableColumn>
    <tableColumn id="33" xr3:uid="{65F777E0-A100-43B7-A2DC-1E7743720035}" name="ring_torsion_6-1-2-3"/>
    <tableColumn id="34" xr3:uid="{874E5D95-A5B4-4B18-B815-776A0B20CA96}" name="ring_torsion_1-2-3-4"/>
    <tableColumn id="35" xr3:uid="{6C94B4C8-E122-41F7-B5E4-F81F7A699EE2}" name="ring_torsion_2-3-4-5"/>
    <tableColumn id="36" xr3:uid="{17ED49D3-2A9E-4AFF-A510-A74F851A24A3}" name="ring_torsion_3-4-5-6"/>
    <tableColumn id="37" xr3:uid="{DE72121B-ABD8-4DD1-83BF-61A6963DA2B9}" name="ring_torsion_4-5-6-1"/>
    <tableColumn id="38" xr3:uid="{244A13A8-2B9D-4E9E-8254-4574CCC87407}" name="ring_torsion_5-6-1-2"/>
    <tableColumn id="49" xr3:uid="{5A4A7358-9079-4CF6-A78A-D2AEBEC878AC}" name="τ_CCCC" dataDxfId="22">
      <calculatedColumnFormula>SUM(Manual[[#This Row],[ring_torsion_6-1-2-3]:[ring_torsion_5-6-1-2]])</calculatedColumnFormula>
    </tableColumn>
    <tableColumn id="39" xr3:uid="{01E3307E-4647-4753-9D0B-D1C4EB76D67B}" name="CH_wag_oop_6-1-2-7"/>
    <tableColumn id="40" xr3:uid="{93AA7110-3BBC-4552-8AB7-1744E557C466}" name="CH_wag_oop_1-2-3-8"/>
    <tableColumn id="41" xr3:uid="{D2075566-DA2B-4349-89B3-588EA4D32DC3}" name="CH_wag_oop_2-3-4-9"/>
    <tableColumn id="42" xr3:uid="{EBF6DD45-47A3-4E64-94CE-17DDC4865128}" name="CH_wag_oop_3-4-5-10"/>
    <tableColumn id="43" xr3:uid="{D1D884DC-52CB-4AE3-A2AD-4D72CC029668}" name="CH_wag_oop_4-5-6-11"/>
    <tableColumn id="44" xr3:uid="{53A2F369-9CB4-44BF-BAD0-4F44A842E654}" name="CH_wag_oop_5-6-1-12"/>
    <tableColumn id="50" xr3:uid="{F9532892-C826-4557-957D-7E91D638FF41}" name="τ_HCCC" dataDxfId="21">
      <calculatedColumnFormula>SUM(Manual[[#This Row],[CH_wag_oop_6-1-2-7]:[CH_wag_oop_5-6-1-12]])</calculatedColumnFormula>
    </tableColumn>
    <tableColumn id="51" xr3:uid="{D17C5F56-6811-40C5-BD42-3D0D8B7D16E5}" name="Total" dataDxfId="20">
      <calculatedColumnFormula>Manual[[#This Row],[ν_CC]]+Manual[[#This Row],[ν_CH]]+Manual[[#This Row],[δ_CCC]]+Manual[[#This Row],[δ_HCC]]+Manual[[#This Row],[τ_CCCC]]+Manual[[#This Row],[τ_HCCC]]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FA073D-BB94-4F61-AD1D-C654CF4C943D}" name="VEDA" displayName="VEDA" ref="A1:AO31" totalsRowShown="0">
  <autoFilter ref="A1:AO31" xr:uid="{4EFA073D-BB94-4F61-AD1D-C654CF4C943D}"/>
  <tableColumns count="41">
    <tableColumn id="1" xr3:uid="{04C51CE2-8335-443E-B596-7B17786E041A}" name="rank"/>
    <tableColumn id="2" xr3:uid="{273004FE-732D-4F19-88AE-1D295CE21917}" name="freq_gaussian_cm-1"/>
    <tableColumn id="3" xr3:uid="{1842DA6A-F926-4454-846C-98229870894A}" name="freq_veda4_cm-1"/>
    <tableColumn id="41" xr3:uid="{A82F2C2A-0B1F-4041-AE56-2E64420DE6EC}" name="Program"/>
    <tableColumn id="4" xr3:uid="{7BCB951C-ABF7-4E91-B977-2C9B1223CBD3}" name="s1_STRE_CH"/>
    <tableColumn id="5" xr3:uid="{769C18FB-3F4C-42E1-8A5C-90E815188962}" name="s2_STRE_CH"/>
    <tableColumn id="6" xr3:uid="{A74B6E8A-5760-4860-8504-D7AA7492E700}" name="s3_STRE_CH"/>
    <tableColumn id="7" xr3:uid="{C93C14A3-3FEC-4984-9C3C-BCEBF04E78C9}" name="s4_STRE_CH"/>
    <tableColumn id="8" xr3:uid="{A5EDDBF8-0B0F-410B-BFC7-AD450FF632EA}" name="s5_STRE_CH"/>
    <tableColumn id="9" xr3:uid="{4CDFAD42-F610-4AD7-BD12-7320AF50B1C4}" name="s6_STRE_CH"/>
    <tableColumn id="34" xr3:uid="{ADFBAC87-D3F3-4D37-AF23-6628927594F1}" name="ν_CH" dataDxfId="32">
      <calculatedColumnFormula>SUM(VEDA[[#This Row],[s1_STRE_CH]:[s6_STRE_CH]])</calculatedColumnFormula>
    </tableColumn>
    <tableColumn id="10" xr3:uid="{7497741F-8CE6-4BFF-A203-8DD2D5F68C96}" name="s7_STRE_CC"/>
    <tableColumn id="11" xr3:uid="{00ED18A8-39E5-448D-9979-A8CBFEB82C1F}" name="s8_STRE_CC"/>
    <tableColumn id="12" xr3:uid="{CEBF1EF6-96A5-40F9-AB5B-31B1F63EFAC7}" name="s9_STRE_CC"/>
    <tableColumn id="13" xr3:uid="{5A75F6B1-B44C-4B62-A16C-7E9EF4667CBD}" name="s10_STRE_CC"/>
    <tableColumn id="14" xr3:uid="{8DD93AD4-1518-4FC6-9068-54E20D417C45}" name="s11_STRE_CC"/>
    <tableColumn id="35" xr3:uid="{565FFA2C-0852-4F96-AA60-69BCBF114203}" name="ν_CC" dataDxfId="31">
      <calculatedColumnFormula>SUM(VEDA[[#This Row],[s7_STRE_CC]:[s11_STRE_CC]])</calculatedColumnFormula>
    </tableColumn>
    <tableColumn id="16" xr3:uid="{2AB99FA7-D7E1-41CF-9AF8-151838147088}" name="s13_BEND_HCC"/>
    <tableColumn id="17" xr3:uid="{1C99FCBB-61EA-4A18-9675-80F4B73DA0E8}" name="s14_BEND_HCC"/>
    <tableColumn id="18" xr3:uid="{1E1442A4-E144-4470-855E-A2DF154C39D6}" name="s15_BEND_HCC"/>
    <tableColumn id="19" xr3:uid="{C04EF0E8-75D9-4DEE-BE28-DF638CB55335}" name="s16_BEND_HCC"/>
    <tableColumn id="20" xr3:uid="{9FE781AF-D002-45AB-B085-0F24D2E6FDC4}" name="s17_BEND_HCC"/>
    <tableColumn id="21" xr3:uid="{12EFBAB8-EE11-482E-BD6C-462036CC5969}" name="s18_BEND_HCC"/>
    <tableColumn id="36" xr3:uid="{2472533C-C240-42BA-A95B-7924E9412D5D}" name="δ_HCC" dataDxfId="30">
      <calculatedColumnFormula>SUM(VEDA[[#This Row],[s13_BEND_HCC]:[s18_BEND_HCC]])</calculatedColumnFormula>
    </tableColumn>
    <tableColumn id="15" xr3:uid="{1FB267A6-0FDD-42DA-A1F4-842889069B7C}" name="s12_BEND_CCC"/>
    <tableColumn id="22" xr3:uid="{7290CAAC-04C4-4079-AB09-F94B8187433C}" name="s19_BEND_CCC"/>
    <tableColumn id="23" xr3:uid="{33730932-29E8-4BFB-B869-8F72CF7546CB}" name="s20_BEND_CCC"/>
    <tableColumn id="24" xr3:uid="{7EE0C1B4-0C7D-4A38-929B-308F5E972DD5}" name="s21_BEND_CCC"/>
    <tableColumn id="37" xr3:uid="{18BA550D-FBEB-4F0A-A3A8-C7697B96E52D}" name="δ_CCC" dataDxfId="29">
      <calculatedColumnFormula>SUM(VEDA[[#This Row],[s12_BEND_CCC]:[s21_BEND_CCC]])</calculatedColumnFormula>
    </tableColumn>
    <tableColumn id="25" xr3:uid="{4E2D6D0D-0A9D-45B6-BD1D-17C5253B1F50}" name="s22_TORS_HCCC"/>
    <tableColumn id="26" xr3:uid="{118A4379-7FFD-4E3E-8270-4AB0FF983A20}" name="s23_TORS_HCCC"/>
    <tableColumn id="27" xr3:uid="{4D80F8C1-1729-49A8-A9E5-4B2330708748}" name="s24_TORS_HCCC"/>
    <tableColumn id="28" xr3:uid="{B2DC98C1-C168-4EB8-8D5C-F5A3E85B6753}" name="s25_TORS_HCCC"/>
    <tableColumn id="29" xr3:uid="{2D0E8F9D-18F3-402C-BF78-22EEC68EC9F8}" name="s26_TORS_HCCC"/>
    <tableColumn id="30" xr3:uid="{E9BD586A-C46B-48CE-8AB0-046AB3A5174E}" name="s27_TORS_HCCC"/>
    <tableColumn id="38" xr3:uid="{9EA61FC6-607D-4183-84F4-9577FA95A4C2}" name="τ_HCCC" dataDxfId="28">
      <calculatedColumnFormula>SUM(VEDA[[#This Row],[s22_TORS_HCCC]:[s27_TORS_HCCC]])</calculatedColumnFormula>
    </tableColumn>
    <tableColumn id="31" xr3:uid="{E253FB89-0BB4-4ACD-BCA1-F5E67FDCD7AF}" name="s28_TORS_CCCC"/>
    <tableColumn id="32" xr3:uid="{CABA5276-C29E-431F-81E9-82A213D0D98A}" name="s29_TORS_CCCC"/>
    <tableColumn id="33" xr3:uid="{96B10944-B5AB-40FF-BE11-C0157C57D3EA}" name="s30_TORS_CCCC"/>
    <tableColumn id="39" xr3:uid="{F9EBFF1F-F437-416B-BBA9-B5775A7373B7}" name="τ_CCCC" dataDxfId="27">
      <calculatedColumnFormula>SUM(VEDA[[#This Row],[s28_TORS_CCCC]:[s30_TORS_CCCC]])</calculatedColumnFormula>
    </tableColumn>
    <tableColumn id="40" xr3:uid="{7F7558C0-FDF4-4B60-8916-100F202B7378}" name="Total" dataDxfId="26">
      <calculatedColumnFormula>VEDA[[#This Row],[ν_CH]]+VEDA[[#This Row],[ν_CC]]+VEDA[[#This Row],[δ_HCC]]+VEDA[[#This Row],[δ_CCC]]+VEDA[[#This Row],[τ_HCCC]]+VEDA[[#This Row],[τ_CCCC]]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63FD69-7D14-41DA-A28C-9C707C19190B}" name="Table2" displayName="Table2" ref="A1:AG31" totalsRowShown="0">
  <autoFilter ref="A1:AG31" xr:uid="{3C63FD69-7D14-41DA-A28C-9C707C19190B}"/>
  <tableColumns count="33">
    <tableColumn id="1" xr3:uid="{4B98A6C7-CACE-4101-9CDF-1774CC60C610}" name="rank"/>
    <tableColumn id="2" xr3:uid="{823AA376-52BF-443D-9035-93CE2CA41922}" name="freq_gaussian_cm-1"/>
    <tableColumn id="3" xr3:uid="{4A583253-1B2A-4A2E-AA13-AF2E3A4D6A98}" name="freq_veda4_cm-1"/>
    <tableColumn id="4" xr3:uid="{DC38FC36-4A04-42E2-BD24-63E22B1E77A7}" name="s1_STRE_CH"/>
    <tableColumn id="5" xr3:uid="{9E287865-A46B-4147-9FFD-0AD95BED7C6B}" name="s2_STRE_CH"/>
    <tableColumn id="6" xr3:uid="{B2ABD805-781E-49DE-A9AE-7A448BC3016A}" name="s3_STRE_CH"/>
    <tableColumn id="7" xr3:uid="{A3F74EA8-09FF-44CC-8A1B-96A1864D0CA7}" name="s4_STRE_CH"/>
    <tableColumn id="8" xr3:uid="{0CF5B981-3571-4C6B-8B7B-C8040FE01211}" name="s5_STRE_CH"/>
    <tableColumn id="9" xr3:uid="{39559FDC-F666-4421-9E71-E5133E5CCF4E}" name="s6_STRE_CH"/>
    <tableColumn id="10" xr3:uid="{7E39FAF8-90BE-4A46-8128-655D35D3A67C}" name="s7_STRE_CC"/>
    <tableColumn id="11" xr3:uid="{FD5C6773-D889-4453-B574-E3B8A5DCEC80}" name="s8_STRE_CC"/>
    <tableColumn id="12" xr3:uid="{2CD591C6-B165-49D0-A467-12CC9E576223}" name="s9_STRE_CC"/>
    <tableColumn id="13" xr3:uid="{08CBB46E-79C9-4C86-9DAE-C23FAF3470E1}" name="s10_STRE_CC"/>
    <tableColumn id="14" xr3:uid="{432A890A-ABEF-4CE5-82DF-573FBAD3DA91}" name="s11_STRE_CC"/>
    <tableColumn id="15" xr3:uid="{31DC45AA-C6F6-4F7D-A4A6-D03BE2C59CDF}" name="s12_BEND_CCC"/>
    <tableColumn id="16" xr3:uid="{98D7462E-EA27-4970-8534-8319725B1E15}" name="s13_BEND_HCC"/>
    <tableColumn id="17" xr3:uid="{8594C158-1137-4290-8238-FA3F47417717}" name="s14_BEND_HCC"/>
    <tableColumn id="18" xr3:uid="{01CB7FEE-DF59-468C-B10A-C2D0A7AA44A2}" name="s15_BEND_HCC"/>
    <tableColumn id="19" xr3:uid="{8B285B1E-F74F-43DF-AABF-618627CE8E8B}" name="s16_BEND_HCC"/>
    <tableColumn id="20" xr3:uid="{99B2AF8F-9741-4CE5-8382-469580283E95}" name="s17_BEND_HCC"/>
    <tableColumn id="21" xr3:uid="{D76AC625-6626-4AFF-910D-4C933E6A2EEB}" name="s18_BEND_HCC"/>
    <tableColumn id="22" xr3:uid="{70F998F3-CE5B-46C7-93DF-054021165553}" name="s19_BEND_CCC"/>
    <tableColumn id="23" xr3:uid="{06177891-8C4A-47FE-B508-C643B1C76C28}" name="s20_BEND_CCC"/>
    <tableColumn id="24" xr3:uid="{91DDDF91-99CD-4F0A-AF2F-911F790AC3BF}" name="s21_BEND_CCC"/>
    <tableColumn id="25" xr3:uid="{9675B3EA-985C-461B-B0D7-3172585106B2}" name="s22_TORS_HCCC"/>
    <tableColumn id="26" xr3:uid="{D8383AFB-C7AD-443C-8490-085DAD1E6E07}" name="s23_TORS_HCCC"/>
    <tableColumn id="27" xr3:uid="{AB049915-1C90-4332-875B-21D4BD907822}" name="s24_TORS_HCCC"/>
    <tableColumn id="28" xr3:uid="{511F55F0-4A15-4646-85FB-2AA8AE36DD2A}" name="s25_TORS_HCCC"/>
    <tableColumn id="29" xr3:uid="{29149146-69E1-4C74-9BAF-A4C795F1C003}" name="s26_TORS_HCCC"/>
    <tableColumn id="30" xr3:uid="{B526E5E4-CC53-474F-9C58-3A52F7406E63}" name="s27_TORS_HCCC"/>
    <tableColumn id="31" xr3:uid="{D7CCF230-AA5B-4FCE-8865-69A3639C4E8F}" name="s28_TORS_CCCC"/>
    <tableColumn id="32" xr3:uid="{B0F9984A-9D7C-4E90-988D-6956FEA6504F}" name="s29_TORS_CCCC"/>
    <tableColumn id="33" xr3:uid="{9B1A31B1-A01A-4F00-9C9B-C5A8E4DA6301}" name="s30_TORS_CCC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98FE5-DBBB-4494-B4EA-A7C0524EBC8D}">
  <sheetPr>
    <tabColor theme="7" tint="0.79998168889431442"/>
  </sheetPr>
  <dimension ref="A3:S25"/>
  <sheetViews>
    <sheetView tabSelected="1" workbookViewId="0">
      <selection activeCell="V19" sqref="V19"/>
    </sheetView>
  </sheetViews>
  <sheetFormatPr defaultRowHeight="14" x14ac:dyDescent="0.3"/>
  <cols>
    <col min="1" max="1" width="9.75" bestFit="1" customWidth="1"/>
    <col min="2" max="2" width="3.75" customWidth="1"/>
    <col min="3" max="3" width="3.1640625" bestFit="1" customWidth="1"/>
    <col min="4" max="4" width="3.75" bestFit="1" customWidth="1"/>
    <col min="5" max="5" width="3.1640625" bestFit="1" customWidth="1"/>
    <col min="6" max="10" width="3.75" bestFit="1" customWidth="1"/>
    <col min="11" max="11" width="6" bestFit="1" customWidth="1"/>
    <col min="12" max="12" width="3.1640625" bestFit="1" customWidth="1"/>
    <col min="13" max="15" width="3.75" bestFit="1" customWidth="1"/>
    <col min="16" max="16" width="3.1640625" bestFit="1" customWidth="1"/>
    <col min="17" max="19" width="3.75" bestFit="1" customWidth="1"/>
  </cols>
  <sheetData>
    <row r="3" spans="1:19" x14ac:dyDescent="0.3">
      <c r="B3" s="15" t="s">
        <v>91</v>
      </c>
      <c r="C3" s="11"/>
      <c r="K3" s="4"/>
      <c r="L3" s="11"/>
      <c r="M3" s="11"/>
      <c r="N3" s="11"/>
      <c r="O3" s="11"/>
      <c r="P3" s="11"/>
      <c r="Q3" s="11"/>
      <c r="R3" s="11"/>
      <c r="S3" s="11"/>
    </row>
    <row r="4" spans="1:19" x14ac:dyDescent="0.3">
      <c r="B4" s="4" t="s">
        <v>86</v>
      </c>
      <c r="C4" s="11"/>
      <c r="K4" s="4" t="s">
        <v>87</v>
      </c>
      <c r="L4" s="11"/>
      <c r="M4" s="11"/>
      <c r="N4" s="11"/>
      <c r="O4" s="11"/>
      <c r="P4" s="11"/>
      <c r="Q4" s="11"/>
      <c r="R4" s="11"/>
      <c r="S4" s="11"/>
    </row>
    <row r="5" spans="1:19" s="10" customFormat="1" ht="112.5" x14ac:dyDescent="0.3">
      <c r="A5" s="9" t="s">
        <v>84</v>
      </c>
      <c r="B5" s="12" t="s">
        <v>85</v>
      </c>
      <c r="C5" s="13" t="s">
        <v>92</v>
      </c>
      <c r="D5" s="10" t="s">
        <v>93</v>
      </c>
      <c r="E5" s="10" t="s">
        <v>94</v>
      </c>
      <c r="F5" s="10" t="s">
        <v>95</v>
      </c>
      <c r="G5" s="10" t="s">
        <v>96</v>
      </c>
      <c r="H5" s="10" t="s">
        <v>97</v>
      </c>
      <c r="I5" s="10" t="s">
        <v>98</v>
      </c>
      <c r="J5" s="10" t="s">
        <v>99</v>
      </c>
      <c r="K5" s="12" t="s">
        <v>85</v>
      </c>
      <c r="L5" s="13" t="s">
        <v>92</v>
      </c>
      <c r="M5" s="13" t="s">
        <v>93</v>
      </c>
      <c r="N5" s="13" t="s">
        <v>94</v>
      </c>
      <c r="O5" s="13" t="s">
        <v>95</v>
      </c>
      <c r="P5" s="13" t="s">
        <v>96</v>
      </c>
      <c r="Q5" s="13" t="s">
        <v>97</v>
      </c>
      <c r="R5" s="13" t="s">
        <v>98</v>
      </c>
      <c r="S5" s="13" t="s">
        <v>99</v>
      </c>
    </row>
    <row r="6" spans="1:19" x14ac:dyDescent="0.3">
      <c r="A6" s="6">
        <v>411.98469999999998</v>
      </c>
      <c r="B6" s="5">
        <v>2</v>
      </c>
      <c r="C6" s="14">
        <v>0</v>
      </c>
      <c r="D6" s="7">
        <v>0</v>
      </c>
      <c r="E6" s="7">
        <v>0</v>
      </c>
      <c r="F6" s="7">
        <v>0</v>
      </c>
      <c r="G6" s="7">
        <v>115.24</v>
      </c>
      <c r="H6" s="7">
        <v>-15.260000000000002</v>
      </c>
      <c r="I6" s="7">
        <v>0</v>
      </c>
      <c r="J6" s="7">
        <v>99.97999999999999</v>
      </c>
      <c r="K6" s="5">
        <v>2</v>
      </c>
      <c r="L6" s="14">
        <v>0</v>
      </c>
      <c r="M6" s="14">
        <v>0</v>
      </c>
      <c r="N6" s="14">
        <v>0</v>
      </c>
      <c r="O6" s="14">
        <v>0</v>
      </c>
      <c r="P6" s="14">
        <v>85</v>
      </c>
      <c r="Q6" s="14">
        <v>14</v>
      </c>
      <c r="R6" s="14">
        <v>0</v>
      </c>
      <c r="S6" s="14">
        <v>99</v>
      </c>
    </row>
    <row r="7" spans="1:19" x14ac:dyDescent="0.3">
      <c r="A7" s="6">
        <v>645.89260000000002</v>
      </c>
      <c r="B7" s="5">
        <v>2</v>
      </c>
      <c r="C7" s="14">
        <v>7.1099999999999994</v>
      </c>
      <c r="D7" s="7">
        <v>0</v>
      </c>
      <c r="E7" s="7">
        <v>60.660000000000004</v>
      </c>
      <c r="F7" s="7">
        <v>32.24</v>
      </c>
      <c r="G7" s="7">
        <v>0</v>
      </c>
      <c r="H7" s="7">
        <v>0</v>
      </c>
      <c r="I7" s="7">
        <v>7.1099999999999994</v>
      </c>
      <c r="J7" s="7">
        <v>92.9</v>
      </c>
      <c r="K7" s="5">
        <v>2</v>
      </c>
      <c r="L7" s="14">
        <v>6.5</v>
      </c>
      <c r="M7" s="14">
        <v>0</v>
      </c>
      <c r="N7" s="14">
        <v>91</v>
      </c>
      <c r="O7" s="14">
        <v>2</v>
      </c>
      <c r="P7" s="14">
        <v>0</v>
      </c>
      <c r="Q7" s="14">
        <v>0</v>
      </c>
      <c r="R7" s="14">
        <v>6.5</v>
      </c>
      <c r="S7" s="14">
        <v>93</v>
      </c>
    </row>
    <row r="8" spans="1:19" x14ac:dyDescent="0.3">
      <c r="A8" s="6">
        <v>678.16520000000003</v>
      </c>
      <c r="B8" s="5">
        <v>1</v>
      </c>
      <c r="C8" s="14">
        <v>0</v>
      </c>
      <c r="D8" s="7">
        <v>0</v>
      </c>
      <c r="E8" s="7">
        <v>0</v>
      </c>
      <c r="F8" s="7">
        <v>0</v>
      </c>
      <c r="G8" s="7">
        <v>121.38000000000001</v>
      </c>
      <c r="H8" s="7">
        <v>-21.36</v>
      </c>
      <c r="I8" s="7">
        <v>0</v>
      </c>
      <c r="J8" s="7">
        <v>100.02000000000001</v>
      </c>
      <c r="K8" s="5">
        <v>1</v>
      </c>
      <c r="L8" s="14">
        <v>0</v>
      </c>
      <c r="M8" s="14">
        <v>0</v>
      </c>
      <c r="N8" s="14">
        <v>0</v>
      </c>
      <c r="O8" s="14">
        <v>0</v>
      </c>
      <c r="P8" s="14">
        <v>91</v>
      </c>
      <c r="Q8" s="14">
        <v>9</v>
      </c>
      <c r="R8" s="14">
        <v>0</v>
      </c>
      <c r="S8" s="14">
        <v>100</v>
      </c>
    </row>
    <row r="9" spans="1:19" x14ac:dyDescent="0.3">
      <c r="A9" s="6">
        <v>684.1694</v>
      </c>
      <c r="B9" s="5">
        <v>1</v>
      </c>
      <c r="C9" s="14">
        <v>0</v>
      </c>
      <c r="D9" s="7">
        <v>0</v>
      </c>
      <c r="E9" s="7">
        <v>0</v>
      </c>
      <c r="F9" s="7">
        <v>0</v>
      </c>
      <c r="G9" s="7">
        <v>0</v>
      </c>
      <c r="H9" s="7">
        <v>100.02000000000001</v>
      </c>
      <c r="I9" s="7">
        <v>0</v>
      </c>
      <c r="J9" s="7">
        <v>100.02000000000001</v>
      </c>
      <c r="K9" s="5">
        <v>1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100</v>
      </c>
      <c r="R9" s="14">
        <v>0</v>
      </c>
      <c r="S9" s="14">
        <v>100</v>
      </c>
    </row>
    <row r="10" spans="1:19" x14ac:dyDescent="0.3">
      <c r="A10" s="6">
        <v>852.23140000000001</v>
      </c>
      <c r="B10" s="5">
        <v>2</v>
      </c>
      <c r="C10" s="14">
        <v>0</v>
      </c>
      <c r="D10" s="7">
        <v>0</v>
      </c>
      <c r="E10" s="7">
        <v>0</v>
      </c>
      <c r="F10" s="7">
        <v>0</v>
      </c>
      <c r="G10" s="7">
        <v>0</v>
      </c>
      <c r="H10" s="7">
        <v>100</v>
      </c>
      <c r="I10" s="7">
        <v>0</v>
      </c>
      <c r="J10" s="7">
        <v>100</v>
      </c>
      <c r="K10" s="5">
        <v>2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100</v>
      </c>
      <c r="R10" s="14">
        <v>0</v>
      </c>
      <c r="S10" s="14">
        <v>100</v>
      </c>
    </row>
    <row r="11" spans="1:19" x14ac:dyDescent="0.3">
      <c r="A11" s="6">
        <v>931.24170000000004</v>
      </c>
      <c r="B11" s="5">
        <v>2</v>
      </c>
      <c r="C11" s="14">
        <v>0</v>
      </c>
      <c r="D11" s="7">
        <v>0</v>
      </c>
      <c r="E11" s="7">
        <v>0</v>
      </c>
      <c r="F11" s="7">
        <v>0</v>
      </c>
      <c r="G11" s="7">
        <v>-15.280000000000001</v>
      </c>
      <c r="H11" s="7">
        <v>115.28</v>
      </c>
      <c r="I11" s="7">
        <v>0</v>
      </c>
      <c r="J11" s="7">
        <v>100</v>
      </c>
      <c r="K11" s="5">
        <v>2</v>
      </c>
      <c r="L11" s="14">
        <v>0</v>
      </c>
      <c r="M11" s="14">
        <v>0</v>
      </c>
      <c r="N11" s="14">
        <v>0</v>
      </c>
      <c r="O11" s="14">
        <v>0</v>
      </c>
      <c r="P11" s="14">
        <v>15</v>
      </c>
      <c r="Q11" s="14">
        <v>85.5</v>
      </c>
      <c r="R11" s="14">
        <v>0</v>
      </c>
      <c r="S11" s="14">
        <v>100.5</v>
      </c>
    </row>
    <row r="12" spans="1:19" x14ac:dyDescent="0.3">
      <c r="A12" s="6">
        <v>933.5249</v>
      </c>
      <c r="B12" s="5">
        <v>1</v>
      </c>
      <c r="C12" s="14">
        <v>0</v>
      </c>
      <c r="D12" s="7">
        <v>0</v>
      </c>
      <c r="E12" s="7">
        <v>0</v>
      </c>
      <c r="F12" s="7">
        <v>0</v>
      </c>
      <c r="G12" s="7">
        <v>-21.419999999999998</v>
      </c>
      <c r="H12" s="7">
        <v>121.43999999999998</v>
      </c>
      <c r="I12" s="7">
        <v>0</v>
      </c>
      <c r="J12" s="7">
        <v>100.01999999999998</v>
      </c>
      <c r="K12" s="5">
        <v>1</v>
      </c>
      <c r="L12" s="14">
        <v>0</v>
      </c>
      <c r="M12" s="14">
        <v>0</v>
      </c>
      <c r="N12" s="14">
        <v>0</v>
      </c>
      <c r="O12" s="14">
        <v>0</v>
      </c>
      <c r="P12" s="14">
        <v>9</v>
      </c>
      <c r="Q12" s="14">
        <v>91</v>
      </c>
      <c r="R12" s="14">
        <v>0</v>
      </c>
      <c r="S12" s="14">
        <v>100</v>
      </c>
    </row>
    <row r="13" spans="1:19" x14ac:dyDescent="0.3">
      <c r="A13" s="6">
        <v>992.58299999999997</v>
      </c>
      <c r="B13" s="5">
        <v>1</v>
      </c>
      <c r="C13" s="14">
        <v>99.239999999999981</v>
      </c>
      <c r="D13" s="7">
        <v>0.78</v>
      </c>
      <c r="E13" s="7">
        <v>0</v>
      </c>
      <c r="F13" s="7">
        <v>0</v>
      </c>
      <c r="G13" s="7">
        <v>0</v>
      </c>
      <c r="H13" s="7">
        <v>0</v>
      </c>
      <c r="I13" s="7">
        <v>100.01999999999998</v>
      </c>
      <c r="J13" s="7">
        <v>0</v>
      </c>
      <c r="K13" s="5">
        <v>1</v>
      </c>
      <c r="L13" s="14">
        <v>99</v>
      </c>
      <c r="M13" s="14">
        <v>1</v>
      </c>
      <c r="N13" s="14">
        <v>0</v>
      </c>
      <c r="O13" s="14">
        <v>0</v>
      </c>
      <c r="P13" s="14">
        <v>0</v>
      </c>
      <c r="Q13" s="14">
        <v>0</v>
      </c>
      <c r="R13" s="14">
        <v>100</v>
      </c>
      <c r="S13" s="14">
        <v>0</v>
      </c>
    </row>
    <row r="14" spans="1:19" x14ac:dyDescent="0.3">
      <c r="A14" s="6">
        <v>1056.3901000000001</v>
      </c>
      <c r="B14" s="5">
        <v>2</v>
      </c>
      <c r="C14" s="14">
        <v>43.739999999999995</v>
      </c>
      <c r="D14" s="7">
        <v>0.21999999999999997</v>
      </c>
      <c r="E14" s="7">
        <v>22.08</v>
      </c>
      <c r="F14" s="7">
        <v>33.959999999999994</v>
      </c>
      <c r="G14" s="7">
        <v>0</v>
      </c>
      <c r="H14" s="7">
        <v>0</v>
      </c>
      <c r="I14" s="7">
        <v>43.959999999999994</v>
      </c>
      <c r="J14" s="7">
        <v>56.04</v>
      </c>
      <c r="K14" s="5">
        <v>2</v>
      </c>
      <c r="L14" s="14">
        <v>44</v>
      </c>
      <c r="M14" s="14">
        <v>0</v>
      </c>
      <c r="N14" s="14">
        <v>33.5</v>
      </c>
      <c r="O14" s="14">
        <v>22</v>
      </c>
      <c r="P14" s="14">
        <v>0</v>
      </c>
      <c r="Q14" s="14">
        <v>0</v>
      </c>
      <c r="R14" s="14">
        <v>44</v>
      </c>
      <c r="S14" s="14">
        <v>55.5</v>
      </c>
    </row>
    <row r="15" spans="1:19" x14ac:dyDescent="0.3">
      <c r="A15" s="6">
        <v>1067.4649999999999</v>
      </c>
      <c r="B15" s="5">
        <v>1</v>
      </c>
      <c r="C15" s="14">
        <v>0</v>
      </c>
      <c r="D15" s="7">
        <v>6.0000000000000005E-2</v>
      </c>
      <c r="E15" s="7">
        <v>66.599999999999994</v>
      </c>
      <c r="F15" s="7">
        <v>33.360000000000007</v>
      </c>
      <c r="G15" s="7">
        <v>0</v>
      </c>
      <c r="H15" s="7">
        <v>0</v>
      </c>
      <c r="I15" s="7">
        <v>6.0000000000000005E-2</v>
      </c>
      <c r="J15" s="7">
        <v>99.960000000000008</v>
      </c>
      <c r="K15" s="5">
        <v>1</v>
      </c>
      <c r="L15" s="14">
        <v>0</v>
      </c>
      <c r="M15" s="14">
        <v>0</v>
      </c>
      <c r="N15" s="14">
        <v>100</v>
      </c>
      <c r="O15" s="14">
        <v>0</v>
      </c>
      <c r="P15" s="14">
        <v>0</v>
      </c>
      <c r="Q15" s="14">
        <v>0</v>
      </c>
      <c r="R15" s="14">
        <v>0</v>
      </c>
      <c r="S15" s="14">
        <v>100</v>
      </c>
    </row>
    <row r="16" spans="1:19" x14ac:dyDescent="0.3">
      <c r="A16" s="6">
        <v>1237.2932000000001</v>
      </c>
      <c r="B16" s="5">
        <v>1</v>
      </c>
      <c r="C16" s="14">
        <v>35.58</v>
      </c>
      <c r="D16" s="7">
        <v>0</v>
      </c>
      <c r="E16" s="7">
        <v>0</v>
      </c>
      <c r="F16" s="7">
        <v>64.439999999999984</v>
      </c>
      <c r="G16" s="7">
        <v>0</v>
      </c>
      <c r="H16" s="7">
        <v>0</v>
      </c>
      <c r="I16" s="7">
        <v>35.58</v>
      </c>
      <c r="J16" s="7">
        <v>64.439999999999984</v>
      </c>
      <c r="K16" s="5">
        <v>1</v>
      </c>
      <c r="L16" s="14">
        <v>35</v>
      </c>
      <c r="M16" s="14">
        <v>0</v>
      </c>
      <c r="N16" s="14">
        <v>0</v>
      </c>
      <c r="O16" s="14">
        <v>65</v>
      </c>
      <c r="P16" s="14">
        <v>0</v>
      </c>
      <c r="Q16" s="14">
        <v>0</v>
      </c>
      <c r="R16" s="14">
        <v>35</v>
      </c>
      <c r="S16" s="14">
        <v>65</v>
      </c>
    </row>
    <row r="17" spans="1:19" x14ac:dyDescent="0.3">
      <c r="A17" s="6">
        <v>1247.1403</v>
      </c>
      <c r="B17" s="5">
        <v>2</v>
      </c>
      <c r="C17" s="14">
        <v>33.18</v>
      </c>
      <c r="D17" s="7">
        <v>0</v>
      </c>
      <c r="E17" s="7">
        <v>-0.75</v>
      </c>
      <c r="F17" s="7">
        <v>67.550000000000011</v>
      </c>
      <c r="G17" s="7">
        <v>0</v>
      </c>
      <c r="H17" s="7">
        <v>0</v>
      </c>
      <c r="I17" s="7">
        <v>33.18</v>
      </c>
      <c r="J17" s="7">
        <v>66.800000000000011</v>
      </c>
      <c r="K17" s="5">
        <v>2</v>
      </c>
      <c r="L17" s="14">
        <v>33.5</v>
      </c>
      <c r="M17" s="14">
        <v>0</v>
      </c>
      <c r="N17" s="14">
        <v>-1</v>
      </c>
      <c r="O17" s="14">
        <v>68</v>
      </c>
      <c r="P17" s="14">
        <v>0</v>
      </c>
      <c r="Q17" s="14">
        <v>0</v>
      </c>
      <c r="R17" s="14">
        <v>33.5</v>
      </c>
      <c r="S17" s="14">
        <v>67</v>
      </c>
    </row>
    <row r="18" spans="1:19" x14ac:dyDescent="0.3">
      <c r="A18" s="6">
        <v>1319.2684999999999</v>
      </c>
      <c r="B18" s="5">
        <v>1</v>
      </c>
      <c r="C18" s="14">
        <v>64.5</v>
      </c>
      <c r="D18" s="7">
        <v>0</v>
      </c>
      <c r="E18" s="7">
        <v>0</v>
      </c>
      <c r="F18" s="7">
        <v>35.520000000000003</v>
      </c>
      <c r="G18" s="7">
        <v>0</v>
      </c>
      <c r="H18" s="7">
        <v>0</v>
      </c>
      <c r="I18" s="7">
        <v>64.5</v>
      </c>
      <c r="J18" s="7">
        <v>35.520000000000003</v>
      </c>
      <c r="K18" s="5">
        <v>1</v>
      </c>
      <c r="L18" s="14">
        <v>65</v>
      </c>
      <c r="M18" s="14">
        <v>0</v>
      </c>
      <c r="N18" s="14">
        <v>0</v>
      </c>
      <c r="O18" s="14">
        <v>35</v>
      </c>
      <c r="P18" s="14">
        <v>0</v>
      </c>
      <c r="Q18" s="14">
        <v>0</v>
      </c>
      <c r="R18" s="14">
        <v>65</v>
      </c>
      <c r="S18" s="14">
        <v>35</v>
      </c>
    </row>
    <row r="19" spans="1:19" x14ac:dyDescent="0.3">
      <c r="A19" s="6">
        <v>1435.4835</v>
      </c>
      <c r="B19" s="5">
        <v>1</v>
      </c>
      <c r="C19" s="14">
        <v>0</v>
      </c>
      <c r="D19" s="7">
        <v>0</v>
      </c>
      <c r="E19" s="7">
        <v>0</v>
      </c>
      <c r="F19" s="7">
        <v>99.96</v>
      </c>
      <c r="G19" s="7">
        <v>0</v>
      </c>
      <c r="H19" s="7">
        <v>0</v>
      </c>
      <c r="I19" s="7">
        <v>0</v>
      </c>
      <c r="J19" s="7">
        <v>99.96</v>
      </c>
      <c r="K19" s="5">
        <v>1</v>
      </c>
      <c r="L19" s="14">
        <v>0</v>
      </c>
      <c r="M19" s="14">
        <v>0</v>
      </c>
      <c r="N19" s="14">
        <v>0</v>
      </c>
      <c r="O19" s="14">
        <v>100</v>
      </c>
      <c r="P19" s="14">
        <v>0</v>
      </c>
      <c r="Q19" s="14">
        <v>0</v>
      </c>
      <c r="R19" s="14">
        <v>0</v>
      </c>
      <c r="S19" s="14">
        <v>100</v>
      </c>
    </row>
    <row r="20" spans="1:19" x14ac:dyDescent="0.3">
      <c r="A20" s="6">
        <v>1532.8465000000001</v>
      </c>
      <c r="B20" s="5">
        <v>2</v>
      </c>
      <c r="C20" s="14">
        <v>12.93</v>
      </c>
      <c r="D20" s="7">
        <v>0.28000000000000003</v>
      </c>
      <c r="E20" s="7">
        <v>6.53</v>
      </c>
      <c r="F20" s="7">
        <v>80.240000000000009</v>
      </c>
      <c r="G20" s="7">
        <v>0</v>
      </c>
      <c r="H20" s="7">
        <v>0</v>
      </c>
      <c r="I20" s="7">
        <v>13.209999999999999</v>
      </c>
      <c r="J20" s="7">
        <v>86.77000000000001</v>
      </c>
      <c r="K20" s="5">
        <v>2</v>
      </c>
      <c r="L20" s="14">
        <v>5.5</v>
      </c>
      <c r="M20" s="14">
        <v>0</v>
      </c>
      <c r="N20" s="14">
        <v>17.5</v>
      </c>
      <c r="O20" s="14">
        <v>77.5</v>
      </c>
      <c r="P20" s="14">
        <v>0</v>
      </c>
      <c r="Q20" s="14">
        <v>0</v>
      </c>
      <c r="R20" s="14">
        <v>5.5</v>
      </c>
      <c r="S20" s="14">
        <v>95</v>
      </c>
    </row>
    <row r="21" spans="1:19" x14ac:dyDescent="0.3">
      <c r="A21" s="6">
        <v>1598.8987</v>
      </c>
      <c r="B21" s="5">
        <v>2</v>
      </c>
      <c r="C21" s="14">
        <v>59.66</v>
      </c>
      <c r="D21" s="7">
        <v>0.19</v>
      </c>
      <c r="E21" s="7">
        <v>6.73</v>
      </c>
      <c r="F21" s="7">
        <v>33.44</v>
      </c>
      <c r="G21" s="7">
        <v>0</v>
      </c>
      <c r="H21" s="7">
        <v>0</v>
      </c>
      <c r="I21" s="7">
        <v>59.849999999999994</v>
      </c>
      <c r="J21" s="7">
        <v>40.17</v>
      </c>
      <c r="K21" s="5">
        <v>2</v>
      </c>
      <c r="L21" s="14">
        <v>60</v>
      </c>
      <c r="M21" s="14">
        <v>0</v>
      </c>
      <c r="N21" s="14">
        <v>10</v>
      </c>
      <c r="O21" s="14">
        <v>30</v>
      </c>
      <c r="P21" s="14">
        <v>0</v>
      </c>
      <c r="Q21" s="14">
        <v>0</v>
      </c>
      <c r="R21" s="14">
        <v>60</v>
      </c>
      <c r="S21" s="14">
        <v>40</v>
      </c>
    </row>
    <row r="22" spans="1:19" x14ac:dyDescent="0.3">
      <c r="A22" s="6">
        <v>3182.2914999999998</v>
      </c>
      <c r="B22" s="5">
        <v>1</v>
      </c>
      <c r="C22" s="14">
        <v>0</v>
      </c>
      <c r="D22" s="7">
        <v>99.9</v>
      </c>
      <c r="E22" s="7">
        <v>6.0000000000000005E-2</v>
      </c>
      <c r="F22" s="7">
        <v>0</v>
      </c>
      <c r="G22" s="7">
        <v>0</v>
      </c>
      <c r="H22" s="7">
        <v>0</v>
      </c>
      <c r="I22" s="7">
        <v>99.9</v>
      </c>
      <c r="J22" s="7">
        <v>6.0000000000000005E-2</v>
      </c>
      <c r="K22" s="5">
        <v>1</v>
      </c>
      <c r="L22" s="14">
        <v>0</v>
      </c>
      <c r="M22" s="14">
        <v>100</v>
      </c>
      <c r="N22" s="14">
        <v>0</v>
      </c>
      <c r="O22" s="14">
        <v>0</v>
      </c>
      <c r="P22" s="14">
        <v>0</v>
      </c>
      <c r="Q22" s="14">
        <v>0</v>
      </c>
      <c r="R22" s="14">
        <v>100</v>
      </c>
      <c r="S22" s="14">
        <v>0</v>
      </c>
    </row>
    <row r="23" spans="1:19" x14ac:dyDescent="0.3">
      <c r="A23" s="6">
        <v>3191.8910000000001</v>
      </c>
      <c r="B23" s="5">
        <v>2</v>
      </c>
      <c r="C23" s="14">
        <v>0.1</v>
      </c>
      <c r="D23" s="7">
        <v>99.81</v>
      </c>
      <c r="E23" s="7">
        <v>0.03</v>
      </c>
      <c r="F23" s="7">
        <v>0.05</v>
      </c>
      <c r="G23" s="7">
        <v>0</v>
      </c>
      <c r="H23" s="7">
        <v>0</v>
      </c>
      <c r="I23" s="7">
        <v>99.91</v>
      </c>
      <c r="J23" s="7">
        <v>0.08</v>
      </c>
      <c r="K23" s="5">
        <v>2</v>
      </c>
      <c r="L23" s="14">
        <v>0</v>
      </c>
      <c r="M23" s="14">
        <v>100</v>
      </c>
      <c r="N23" s="14">
        <v>0</v>
      </c>
      <c r="O23" s="14">
        <v>0</v>
      </c>
      <c r="P23" s="14">
        <v>0</v>
      </c>
      <c r="Q23" s="14">
        <v>0</v>
      </c>
      <c r="R23" s="14">
        <v>100</v>
      </c>
      <c r="S23" s="14">
        <v>0</v>
      </c>
    </row>
    <row r="24" spans="1:19" x14ac:dyDescent="0.3">
      <c r="A24" s="6">
        <v>3209.6325000000002</v>
      </c>
      <c r="B24" s="5">
        <v>2</v>
      </c>
      <c r="C24" s="14">
        <v>0.25</v>
      </c>
      <c r="D24" s="7">
        <v>99.47999999999999</v>
      </c>
      <c r="E24" s="7">
        <v>0.12</v>
      </c>
      <c r="F24" s="7">
        <v>0.12</v>
      </c>
      <c r="G24" s="7">
        <v>0</v>
      </c>
      <c r="H24" s="7">
        <v>0</v>
      </c>
      <c r="I24" s="7">
        <v>99.72999999999999</v>
      </c>
      <c r="J24" s="7">
        <v>0.24</v>
      </c>
      <c r="K24" s="5">
        <v>2</v>
      </c>
      <c r="L24" s="14">
        <v>0</v>
      </c>
      <c r="M24" s="14">
        <v>99</v>
      </c>
      <c r="N24" s="14">
        <v>0</v>
      </c>
      <c r="O24" s="14">
        <v>0</v>
      </c>
      <c r="P24" s="14">
        <v>0</v>
      </c>
      <c r="Q24" s="14">
        <v>0</v>
      </c>
      <c r="R24" s="14">
        <v>99</v>
      </c>
      <c r="S24" s="14">
        <v>0</v>
      </c>
    </row>
    <row r="25" spans="1:19" x14ac:dyDescent="0.3">
      <c r="A25" s="6">
        <v>3223.1696000000002</v>
      </c>
      <c r="B25" s="5">
        <v>1</v>
      </c>
      <c r="C25" s="14">
        <v>0.78</v>
      </c>
      <c r="D25" s="7">
        <v>99.18</v>
      </c>
      <c r="E25" s="7">
        <v>0</v>
      </c>
      <c r="F25" s="7">
        <v>0</v>
      </c>
      <c r="G25" s="7">
        <v>0</v>
      </c>
      <c r="H25" s="7">
        <v>0</v>
      </c>
      <c r="I25" s="7">
        <v>99.960000000000008</v>
      </c>
      <c r="J25" s="7">
        <v>0</v>
      </c>
      <c r="K25" s="5">
        <v>1</v>
      </c>
      <c r="L25" s="14">
        <v>1</v>
      </c>
      <c r="M25" s="14">
        <v>99</v>
      </c>
      <c r="N25" s="14">
        <v>0</v>
      </c>
      <c r="O25" s="14">
        <v>0</v>
      </c>
      <c r="P25" s="14">
        <v>0</v>
      </c>
      <c r="Q25" s="14">
        <v>0</v>
      </c>
      <c r="R25" s="14">
        <v>100</v>
      </c>
      <c r="S25" s="14">
        <v>0</v>
      </c>
    </row>
  </sheetData>
  <conditionalFormatting pivot="1" sqref="C6:H25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L6:Q25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I6:J25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R6:S2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7680-1699-4235-8F68-A64D8A07B18D}">
  <sheetPr>
    <tabColor theme="1"/>
  </sheetPr>
  <dimension ref="A1:L61"/>
  <sheetViews>
    <sheetView zoomScale="68" workbookViewId="0">
      <selection activeCell="N51" sqref="N51"/>
    </sheetView>
  </sheetViews>
  <sheetFormatPr defaultRowHeight="14" x14ac:dyDescent="0.3"/>
  <cols>
    <col min="2" max="2" width="21.4140625" customWidth="1"/>
    <col min="3" max="3" width="18.9140625" customWidth="1"/>
    <col min="4" max="4" width="13.1640625" bestFit="1" customWidth="1"/>
    <col min="5" max="5" width="15.75" bestFit="1" customWidth="1"/>
    <col min="6" max="6" width="15.9140625" bestFit="1" customWidth="1"/>
    <col min="7" max="7" width="17.08203125" bestFit="1" customWidth="1"/>
    <col min="8" max="8" width="17.25" bestFit="1" customWidth="1"/>
    <col min="9" max="9" width="18.08203125" bestFit="1" customWidth="1"/>
    <col min="10" max="10" width="18.25" bestFit="1" customWidth="1"/>
    <col min="11" max="11" width="12.08203125" style="4" bestFit="1" customWidth="1"/>
    <col min="12" max="12" width="12.1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88</v>
      </c>
      <c r="E1" t="s">
        <v>76</v>
      </c>
      <c r="F1" t="s">
        <v>75</v>
      </c>
      <c r="G1" t="s">
        <v>78</v>
      </c>
      <c r="H1" t="s">
        <v>82</v>
      </c>
      <c r="I1" t="s">
        <v>80</v>
      </c>
      <c r="J1" t="s">
        <v>83</v>
      </c>
      <c r="K1" s="4" t="s">
        <v>89</v>
      </c>
      <c r="L1" t="s">
        <v>90</v>
      </c>
    </row>
    <row r="2" spans="1:12" x14ac:dyDescent="0.3">
      <c r="A2">
        <v>1</v>
      </c>
      <c r="B2">
        <v>3223.1696000000002</v>
      </c>
      <c r="C2">
        <v>3223.49</v>
      </c>
      <c r="D2" t="s">
        <v>86</v>
      </c>
      <c r="E2" s="7">
        <v>0.78</v>
      </c>
      <c r="F2" s="7">
        <v>99.18</v>
      </c>
      <c r="G2" s="7">
        <v>0</v>
      </c>
      <c r="H2" s="7">
        <v>0</v>
      </c>
      <c r="I2" s="7">
        <v>0</v>
      </c>
      <c r="J2" s="7">
        <v>0</v>
      </c>
      <c r="K2" s="8">
        <f>SUM(Table4[[#This Row],[ν_CC]:[ν_CH]])</f>
        <v>99.960000000000008</v>
      </c>
      <c r="L2" s="7">
        <f>SUM(Table4[[#This Row],[δ_CCC]:[τ_HCCC]])</f>
        <v>0</v>
      </c>
    </row>
    <row r="3" spans="1:12" x14ac:dyDescent="0.3">
      <c r="A3">
        <v>2</v>
      </c>
      <c r="B3">
        <v>3209.6325000000002</v>
      </c>
      <c r="C3">
        <v>3210.47</v>
      </c>
      <c r="D3" t="s">
        <v>86</v>
      </c>
      <c r="E3" s="7">
        <v>0.24000000000000002</v>
      </c>
      <c r="F3" s="7">
        <v>99.47999999999999</v>
      </c>
      <c r="G3" s="7">
        <v>0.12</v>
      </c>
      <c r="H3" s="7">
        <v>0.12</v>
      </c>
      <c r="I3" s="7">
        <v>0</v>
      </c>
      <c r="J3" s="7">
        <v>0</v>
      </c>
      <c r="K3" s="8">
        <f>SUM(Table4[[#This Row],[ν_CC]:[ν_CH]])</f>
        <v>99.719999999999985</v>
      </c>
      <c r="L3" s="7">
        <f>SUM(Table4[[#This Row],[δ_CCC]:[τ_HCCC]])</f>
        <v>0.24</v>
      </c>
    </row>
    <row r="4" spans="1:12" x14ac:dyDescent="0.3">
      <c r="A4">
        <v>3</v>
      </c>
      <c r="B4">
        <v>3209.6325000000002</v>
      </c>
      <c r="C4">
        <v>3210.45</v>
      </c>
      <c r="D4" t="s">
        <v>86</v>
      </c>
      <c r="E4" s="7">
        <v>0.26</v>
      </c>
      <c r="F4" s="7">
        <v>99.47999999999999</v>
      </c>
      <c r="G4" s="7">
        <v>0.12</v>
      </c>
      <c r="H4" s="7">
        <v>0.12</v>
      </c>
      <c r="I4" s="7">
        <v>0</v>
      </c>
      <c r="J4" s="7">
        <v>0</v>
      </c>
      <c r="K4" s="8">
        <f>SUM(Table4[[#This Row],[ν_CC]:[ν_CH]])</f>
        <v>99.74</v>
      </c>
      <c r="L4" s="7">
        <f>SUM(Table4[[#This Row],[δ_CCC]:[τ_HCCC]])</f>
        <v>0.24</v>
      </c>
    </row>
    <row r="5" spans="1:12" x14ac:dyDescent="0.3">
      <c r="A5">
        <v>4</v>
      </c>
      <c r="B5">
        <v>3191.8910000000001</v>
      </c>
      <c r="C5">
        <v>3192.2</v>
      </c>
      <c r="D5" t="s">
        <v>86</v>
      </c>
      <c r="E5" s="7">
        <v>9.9999999999999992E-2</v>
      </c>
      <c r="F5" s="7">
        <v>99.82</v>
      </c>
      <c r="G5" s="7">
        <v>0.02</v>
      </c>
      <c r="H5" s="7">
        <v>0.04</v>
      </c>
      <c r="I5" s="7">
        <v>0</v>
      </c>
      <c r="J5" s="7">
        <v>0</v>
      </c>
      <c r="K5" s="8">
        <f>SUM(Table4[[#This Row],[ν_CC]:[ν_CH]])</f>
        <v>99.919999999999987</v>
      </c>
      <c r="L5" s="7">
        <f>SUM(Table4[[#This Row],[δ_CCC]:[τ_HCCC]])</f>
        <v>0.06</v>
      </c>
    </row>
    <row r="6" spans="1:12" x14ac:dyDescent="0.3">
      <c r="A6">
        <v>5</v>
      </c>
      <c r="B6">
        <v>3191.8910000000001</v>
      </c>
      <c r="C6">
        <v>3192.19</v>
      </c>
      <c r="D6" t="s">
        <v>86</v>
      </c>
      <c r="E6" s="7">
        <v>0.1</v>
      </c>
      <c r="F6" s="7">
        <v>99.800000000000011</v>
      </c>
      <c r="G6" s="7">
        <v>0.04</v>
      </c>
      <c r="H6" s="7">
        <v>6.0000000000000005E-2</v>
      </c>
      <c r="I6" s="7">
        <v>0</v>
      </c>
      <c r="J6" s="7">
        <v>0</v>
      </c>
      <c r="K6" s="8">
        <f>SUM(Table4[[#This Row],[ν_CC]:[ν_CH]])</f>
        <v>99.9</v>
      </c>
      <c r="L6" s="7">
        <f>SUM(Table4[[#This Row],[δ_CCC]:[τ_HCCC]])</f>
        <v>0.1</v>
      </c>
    </row>
    <row r="7" spans="1:12" x14ac:dyDescent="0.3">
      <c r="A7">
        <v>6</v>
      </c>
      <c r="B7">
        <v>3182.2914999999998</v>
      </c>
      <c r="C7">
        <v>3182.59</v>
      </c>
      <c r="D7" t="s">
        <v>86</v>
      </c>
      <c r="E7" s="7">
        <v>0</v>
      </c>
      <c r="F7" s="7">
        <v>99.9</v>
      </c>
      <c r="G7" s="7">
        <v>6.0000000000000005E-2</v>
      </c>
      <c r="H7" s="7">
        <v>0</v>
      </c>
      <c r="I7" s="7">
        <v>0</v>
      </c>
      <c r="J7" s="7">
        <v>0</v>
      </c>
      <c r="K7" s="8">
        <f>SUM(Table4[[#This Row],[ν_CC]:[ν_CH]])</f>
        <v>99.9</v>
      </c>
      <c r="L7" s="7">
        <f>SUM(Table4[[#This Row],[δ_CCC]:[τ_HCCC]])</f>
        <v>6.0000000000000005E-2</v>
      </c>
    </row>
    <row r="8" spans="1:12" x14ac:dyDescent="0.3">
      <c r="A8">
        <v>7</v>
      </c>
      <c r="B8">
        <v>1598.8987</v>
      </c>
      <c r="C8">
        <v>1599.51</v>
      </c>
      <c r="D8" t="s">
        <v>86</v>
      </c>
      <c r="E8" s="7">
        <v>59.66</v>
      </c>
      <c r="F8" s="7">
        <v>0.19999999999999998</v>
      </c>
      <c r="G8" s="7">
        <v>6.74</v>
      </c>
      <c r="H8" s="7">
        <v>33.44</v>
      </c>
      <c r="I8" s="7">
        <v>0</v>
      </c>
      <c r="J8" s="7">
        <v>0</v>
      </c>
      <c r="K8" s="8">
        <f>SUM(Table4[[#This Row],[ν_CC]:[ν_CH]])</f>
        <v>59.86</v>
      </c>
      <c r="L8" s="7">
        <f>SUM(Table4[[#This Row],[δ_CCC]:[τ_HCCC]])</f>
        <v>40.18</v>
      </c>
    </row>
    <row r="9" spans="1:12" x14ac:dyDescent="0.3">
      <c r="A9">
        <v>8</v>
      </c>
      <c r="B9">
        <v>1598.8987</v>
      </c>
      <c r="C9">
        <v>1599.51</v>
      </c>
      <c r="D9" t="s">
        <v>86</v>
      </c>
      <c r="E9" s="7">
        <v>59.66</v>
      </c>
      <c r="F9" s="7">
        <v>0.18</v>
      </c>
      <c r="G9" s="7">
        <v>6.72</v>
      </c>
      <c r="H9" s="7">
        <v>33.44</v>
      </c>
      <c r="I9" s="7">
        <v>0</v>
      </c>
      <c r="J9" s="7">
        <v>0</v>
      </c>
      <c r="K9" s="8">
        <f>SUM(Table4[[#This Row],[ν_CC]:[ν_CH]])</f>
        <v>59.839999999999996</v>
      </c>
      <c r="L9" s="7">
        <f>SUM(Table4[[#This Row],[δ_CCC]:[τ_HCCC]])</f>
        <v>40.159999999999997</v>
      </c>
    </row>
    <row r="10" spans="1:12" x14ac:dyDescent="0.3">
      <c r="A10">
        <v>9</v>
      </c>
      <c r="B10">
        <v>1532.8465000000001</v>
      </c>
      <c r="C10">
        <v>1533.43</v>
      </c>
      <c r="D10" t="s">
        <v>86</v>
      </c>
      <c r="E10" s="7">
        <v>12.940000000000001</v>
      </c>
      <c r="F10" s="7">
        <v>0.28000000000000003</v>
      </c>
      <c r="G10" s="7">
        <v>6.52</v>
      </c>
      <c r="H10" s="7">
        <v>80.240000000000009</v>
      </c>
      <c r="I10" s="7">
        <v>0</v>
      </c>
      <c r="J10" s="7">
        <v>0</v>
      </c>
      <c r="K10" s="8">
        <f>SUM(Table4[[#This Row],[ν_CC]:[ν_CH]])</f>
        <v>13.22</v>
      </c>
      <c r="L10" s="7">
        <f>SUM(Table4[[#This Row],[δ_CCC]:[τ_HCCC]])</f>
        <v>86.76</v>
      </c>
    </row>
    <row r="11" spans="1:12" x14ac:dyDescent="0.3">
      <c r="A11">
        <v>10</v>
      </c>
      <c r="B11">
        <v>1532.8465000000001</v>
      </c>
      <c r="C11">
        <v>1533.4</v>
      </c>
      <c r="D11" t="s">
        <v>86</v>
      </c>
      <c r="E11" s="7">
        <v>12.919999999999998</v>
      </c>
      <c r="F11" s="7">
        <v>0.28000000000000003</v>
      </c>
      <c r="G11" s="7">
        <v>6.5400000000000009</v>
      </c>
      <c r="H11" s="7">
        <v>80.239999999999995</v>
      </c>
      <c r="I11" s="7">
        <v>0</v>
      </c>
      <c r="J11" s="7">
        <v>0</v>
      </c>
      <c r="K11" s="8">
        <f>SUM(Table4[[#This Row],[ν_CC]:[ν_CH]])</f>
        <v>13.199999999999998</v>
      </c>
      <c r="L11" s="7">
        <f>SUM(Table4[[#This Row],[δ_CCC]:[τ_HCCC]])</f>
        <v>86.78</v>
      </c>
    </row>
    <row r="12" spans="1:12" x14ac:dyDescent="0.3">
      <c r="A12">
        <v>11</v>
      </c>
      <c r="B12">
        <v>1435.4835</v>
      </c>
      <c r="C12">
        <v>1436.29</v>
      </c>
      <c r="D12" t="s">
        <v>86</v>
      </c>
      <c r="E12" s="7">
        <v>0</v>
      </c>
      <c r="F12" s="7">
        <v>0</v>
      </c>
      <c r="G12" s="7">
        <v>0</v>
      </c>
      <c r="H12" s="7">
        <v>99.96</v>
      </c>
      <c r="I12" s="7">
        <v>0</v>
      </c>
      <c r="J12" s="7">
        <v>0</v>
      </c>
      <c r="K12" s="8">
        <f>SUM(Table4[[#This Row],[ν_CC]:[ν_CH]])</f>
        <v>0</v>
      </c>
      <c r="L12" s="7">
        <f>SUM(Table4[[#This Row],[δ_CCC]:[τ_HCCC]])</f>
        <v>99.96</v>
      </c>
    </row>
    <row r="13" spans="1:12" x14ac:dyDescent="0.3">
      <c r="A13">
        <v>12</v>
      </c>
      <c r="B13">
        <v>1319.2684999999999</v>
      </c>
      <c r="C13">
        <v>1319.75</v>
      </c>
      <c r="D13" t="s">
        <v>86</v>
      </c>
      <c r="E13" s="7">
        <v>64.5</v>
      </c>
      <c r="F13" s="7">
        <v>0</v>
      </c>
      <c r="G13" s="7">
        <v>0</v>
      </c>
      <c r="H13" s="7">
        <v>35.520000000000003</v>
      </c>
      <c r="I13" s="7">
        <v>0</v>
      </c>
      <c r="J13" s="7">
        <v>0</v>
      </c>
      <c r="K13" s="8">
        <f>SUM(Table4[[#This Row],[ν_CC]:[ν_CH]])</f>
        <v>64.5</v>
      </c>
      <c r="L13" s="7">
        <f>SUM(Table4[[#This Row],[δ_CCC]:[τ_HCCC]])</f>
        <v>35.520000000000003</v>
      </c>
    </row>
    <row r="14" spans="1:12" x14ac:dyDescent="0.3">
      <c r="A14">
        <v>13</v>
      </c>
      <c r="B14">
        <v>1247.1403</v>
      </c>
      <c r="C14">
        <v>1247.31</v>
      </c>
      <c r="D14" t="s">
        <v>86</v>
      </c>
      <c r="E14" s="7">
        <v>33.18</v>
      </c>
      <c r="F14" s="7">
        <v>0</v>
      </c>
      <c r="G14" s="7">
        <v>-0.74</v>
      </c>
      <c r="H14" s="7">
        <v>67.540000000000006</v>
      </c>
      <c r="I14" s="7">
        <v>0</v>
      </c>
      <c r="J14" s="7">
        <v>0</v>
      </c>
      <c r="K14" s="8">
        <f>SUM(Table4[[#This Row],[ν_CC]:[ν_CH]])</f>
        <v>33.18</v>
      </c>
      <c r="L14" s="7">
        <f>SUM(Table4[[#This Row],[δ_CCC]:[τ_HCCC]])</f>
        <v>66.800000000000011</v>
      </c>
    </row>
    <row r="15" spans="1:12" x14ac:dyDescent="0.3">
      <c r="A15">
        <v>14</v>
      </c>
      <c r="B15">
        <v>1247.1403</v>
      </c>
      <c r="C15">
        <v>1247.3</v>
      </c>
      <c r="D15" t="s">
        <v>86</v>
      </c>
      <c r="E15" s="7">
        <v>33.18</v>
      </c>
      <c r="F15" s="7">
        <v>0</v>
      </c>
      <c r="G15" s="7">
        <v>-0.76</v>
      </c>
      <c r="H15" s="7">
        <v>67.56</v>
      </c>
      <c r="I15" s="7">
        <v>0</v>
      </c>
      <c r="J15" s="7">
        <v>0</v>
      </c>
      <c r="K15" s="8">
        <f>SUM(Table4[[#This Row],[ν_CC]:[ν_CH]])</f>
        <v>33.18</v>
      </c>
      <c r="L15" s="7">
        <f>SUM(Table4[[#This Row],[δ_CCC]:[τ_HCCC]])</f>
        <v>66.8</v>
      </c>
    </row>
    <row r="16" spans="1:12" x14ac:dyDescent="0.3">
      <c r="A16">
        <v>15</v>
      </c>
      <c r="B16">
        <v>1237.2932000000001</v>
      </c>
      <c r="C16">
        <v>1237.48</v>
      </c>
      <c r="D16" t="s">
        <v>86</v>
      </c>
      <c r="E16" s="7">
        <v>35.58</v>
      </c>
      <c r="F16" s="7">
        <v>0</v>
      </c>
      <c r="G16" s="7">
        <v>0</v>
      </c>
      <c r="H16" s="7">
        <v>64.439999999999984</v>
      </c>
      <c r="I16" s="7">
        <v>0</v>
      </c>
      <c r="J16" s="7">
        <v>0</v>
      </c>
      <c r="K16" s="8">
        <f>SUM(Table4[[#This Row],[ν_CC]:[ν_CH]])</f>
        <v>35.58</v>
      </c>
      <c r="L16" s="7">
        <f>SUM(Table4[[#This Row],[δ_CCC]:[τ_HCCC]])</f>
        <v>64.439999999999984</v>
      </c>
    </row>
    <row r="17" spans="1:12" x14ac:dyDescent="0.3">
      <c r="A17">
        <v>16</v>
      </c>
      <c r="B17">
        <v>1067.4649999999999</v>
      </c>
      <c r="C17">
        <v>1067.92</v>
      </c>
      <c r="D17" t="s">
        <v>86</v>
      </c>
      <c r="E17" s="7">
        <v>0</v>
      </c>
      <c r="F17" s="7">
        <v>6.0000000000000005E-2</v>
      </c>
      <c r="G17" s="7">
        <v>66.599999999999994</v>
      </c>
      <c r="H17" s="7">
        <v>33.360000000000007</v>
      </c>
      <c r="I17" s="7">
        <v>0</v>
      </c>
      <c r="J17" s="7">
        <v>0</v>
      </c>
      <c r="K17" s="8">
        <f>SUM(Table4[[#This Row],[ν_CC]:[ν_CH]])</f>
        <v>6.0000000000000005E-2</v>
      </c>
      <c r="L17" s="7">
        <f>SUM(Table4[[#This Row],[δ_CCC]:[τ_HCCC]])</f>
        <v>99.960000000000008</v>
      </c>
    </row>
    <row r="18" spans="1:12" x14ac:dyDescent="0.3">
      <c r="A18">
        <v>17</v>
      </c>
      <c r="B18">
        <v>1056.3901000000001</v>
      </c>
      <c r="C18">
        <v>1056.73</v>
      </c>
      <c r="D18" t="s">
        <v>86</v>
      </c>
      <c r="E18" s="7">
        <v>43.74</v>
      </c>
      <c r="F18" s="7">
        <v>0.22</v>
      </c>
      <c r="G18" s="7">
        <v>22.080000000000002</v>
      </c>
      <c r="H18" s="7">
        <v>33.96</v>
      </c>
      <c r="I18" s="7">
        <v>0</v>
      </c>
      <c r="J18" s="7">
        <v>0</v>
      </c>
      <c r="K18" s="8">
        <f>SUM(Table4[[#This Row],[ν_CC]:[ν_CH]])</f>
        <v>43.96</v>
      </c>
      <c r="L18" s="7">
        <f>SUM(Table4[[#This Row],[δ_CCC]:[τ_HCCC]])</f>
        <v>56.040000000000006</v>
      </c>
    </row>
    <row r="19" spans="1:12" x14ac:dyDescent="0.3">
      <c r="A19">
        <v>18</v>
      </c>
      <c r="B19">
        <v>1056.3901000000001</v>
      </c>
      <c r="C19">
        <v>1056.71</v>
      </c>
      <c r="D19" t="s">
        <v>86</v>
      </c>
      <c r="E19" s="7">
        <v>43.739999999999995</v>
      </c>
      <c r="F19" s="7">
        <v>0.21999999999999997</v>
      </c>
      <c r="G19" s="7">
        <v>22.08</v>
      </c>
      <c r="H19" s="7">
        <v>33.959999999999994</v>
      </c>
      <c r="I19" s="7">
        <v>0</v>
      </c>
      <c r="J19" s="7">
        <v>0</v>
      </c>
      <c r="K19" s="8">
        <f>SUM(Table4[[#This Row],[ν_CC]:[ν_CH]])</f>
        <v>43.959999999999994</v>
      </c>
      <c r="L19" s="7">
        <f>SUM(Table4[[#This Row],[δ_CCC]:[τ_HCCC]])</f>
        <v>56.039999999999992</v>
      </c>
    </row>
    <row r="20" spans="1:12" x14ac:dyDescent="0.3">
      <c r="A20">
        <v>19</v>
      </c>
      <c r="B20">
        <v>992.58299999999997</v>
      </c>
      <c r="C20">
        <v>993</v>
      </c>
      <c r="D20" t="s">
        <v>86</v>
      </c>
      <c r="E20" s="7">
        <v>99.239999999999981</v>
      </c>
      <c r="F20" s="7">
        <v>0.78</v>
      </c>
      <c r="G20" s="7">
        <v>0</v>
      </c>
      <c r="H20" s="7">
        <v>0</v>
      </c>
      <c r="I20" s="7">
        <v>0</v>
      </c>
      <c r="J20" s="7">
        <v>0</v>
      </c>
      <c r="K20" s="8">
        <f>SUM(Table4[[#This Row],[ν_CC]:[ν_CH]])</f>
        <v>100.01999999999998</v>
      </c>
      <c r="L20" s="7">
        <f>SUM(Table4[[#This Row],[δ_CCC]:[τ_HCCC]])</f>
        <v>0</v>
      </c>
    </row>
    <row r="21" spans="1:12" x14ac:dyDescent="0.3">
      <c r="A21">
        <v>20</v>
      </c>
      <c r="B21">
        <v>933.5249</v>
      </c>
      <c r="C21">
        <v>933.6</v>
      </c>
      <c r="D21" t="s">
        <v>86</v>
      </c>
      <c r="E21" s="7">
        <v>0</v>
      </c>
      <c r="F21" s="7">
        <v>0</v>
      </c>
      <c r="G21" s="7">
        <v>0</v>
      </c>
      <c r="H21" s="7">
        <v>0</v>
      </c>
      <c r="I21" s="7">
        <v>-21.419999999999998</v>
      </c>
      <c r="J21" s="7">
        <v>121.43999999999998</v>
      </c>
      <c r="K21" s="8">
        <f>SUM(Table4[[#This Row],[ν_CC]:[ν_CH]])</f>
        <v>0</v>
      </c>
      <c r="L21" s="7">
        <f>SUM(Table4[[#This Row],[δ_CCC]:[τ_HCCC]])</f>
        <v>100.01999999999998</v>
      </c>
    </row>
    <row r="22" spans="1:12" x14ac:dyDescent="0.3">
      <c r="A22">
        <v>21</v>
      </c>
      <c r="B22">
        <v>931.24170000000004</v>
      </c>
      <c r="C22">
        <v>931.41</v>
      </c>
      <c r="D22" t="s">
        <v>86</v>
      </c>
      <c r="E22" s="7">
        <v>0</v>
      </c>
      <c r="F22" s="7">
        <v>0</v>
      </c>
      <c r="G22" s="7">
        <v>0</v>
      </c>
      <c r="H22" s="7">
        <v>0</v>
      </c>
      <c r="I22" s="7">
        <v>-15.28</v>
      </c>
      <c r="J22" s="7">
        <v>115.28</v>
      </c>
      <c r="K22" s="8">
        <f>SUM(Table4[[#This Row],[ν_CC]:[ν_CH]])</f>
        <v>0</v>
      </c>
      <c r="L22" s="7">
        <f>SUM(Table4[[#This Row],[δ_CCC]:[τ_HCCC]])</f>
        <v>100</v>
      </c>
    </row>
    <row r="23" spans="1:12" x14ac:dyDescent="0.3">
      <c r="A23">
        <v>22</v>
      </c>
      <c r="B23">
        <v>931.24170000000004</v>
      </c>
      <c r="C23">
        <v>931.4</v>
      </c>
      <c r="D23" t="s">
        <v>86</v>
      </c>
      <c r="E23" s="7">
        <v>0</v>
      </c>
      <c r="F23" s="7">
        <v>0</v>
      </c>
      <c r="G23" s="7">
        <v>0</v>
      </c>
      <c r="H23" s="7">
        <v>0</v>
      </c>
      <c r="I23" s="7">
        <v>-15.280000000000001</v>
      </c>
      <c r="J23" s="7">
        <v>115.28</v>
      </c>
      <c r="K23" s="8">
        <f>SUM(Table4[[#This Row],[ν_CC]:[ν_CH]])</f>
        <v>0</v>
      </c>
      <c r="L23" s="7">
        <f>SUM(Table4[[#This Row],[δ_CCC]:[τ_HCCC]])</f>
        <v>100</v>
      </c>
    </row>
    <row r="24" spans="1:12" x14ac:dyDescent="0.3">
      <c r="A24">
        <v>23</v>
      </c>
      <c r="B24">
        <v>852.23140000000001</v>
      </c>
      <c r="C24">
        <v>852.72</v>
      </c>
      <c r="D24" t="s">
        <v>86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100</v>
      </c>
      <c r="K24" s="8">
        <f>SUM(Table4[[#This Row],[ν_CC]:[ν_CH]])</f>
        <v>0</v>
      </c>
      <c r="L24" s="7">
        <f>SUM(Table4[[#This Row],[δ_CCC]:[τ_HCCC]])</f>
        <v>100</v>
      </c>
    </row>
    <row r="25" spans="1:12" x14ac:dyDescent="0.3">
      <c r="A25">
        <v>24</v>
      </c>
      <c r="B25">
        <v>852.23140000000001</v>
      </c>
      <c r="C25">
        <v>852.7</v>
      </c>
      <c r="D25" t="s">
        <v>86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100</v>
      </c>
      <c r="K25" s="8">
        <f>SUM(Table4[[#This Row],[ν_CC]:[ν_CH]])</f>
        <v>0</v>
      </c>
      <c r="L25" s="7">
        <f>SUM(Table4[[#This Row],[δ_CCC]:[τ_HCCC]])</f>
        <v>100</v>
      </c>
    </row>
    <row r="26" spans="1:12" x14ac:dyDescent="0.3">
      <c r="A26">
        <v>25</v>
      </c>
      <c r="B26">
        <v>684.1694</v>
      </c>
      <c r="C26">
        <v>684.48</v>
      </c>
      <c r="D26" t="s">
        <v>86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100.02000000000001</v>
      </c>
      <c r="K26" s="8">
        <f>SUM(Table4[[#This Row],[ν_CC]:[ν_CH]])</f>
        <v>0</v>
      </c>
      <c r="L26" s="7">
        <f>SUM(Table4[[#This Row],[δ_CCC]:[τ_HCCC]])</f>
        <v>100.02000000000001</v>
      </c>
    </row>
    <row r="27" spans="1:12" x14ac:dyDescent="0.3">
      <c r="A27">
        <v>26</v>
      </c>
      <c r="B27">
        <v>678.16520000000003</v>
      </c>
      <c r="C27">
        <v>678.46</v>
      </c>
      <c r="D27" t="s">
        <v>86</v>
      </c>
      <c r="E27" s="7">
        <v>0</v>
      </c>
      <c r="F27" s="7">
        <v>0</v>
      </c>
      <c r="G27" s="7">
        <v>0</v>
      </c>
      <c r="H27" s="7">
        <v>0</v>
      </c>
      <c r="I27" s="7">
        <v>121.38000000000001</v>
      </c>
      <c r="J27" s="7">
        <v>-21.36</v>
      </c>
      <c r="K27" s="8">
        <f>SUM(Table4[[#This Row],[ν_CC]:[ν_CH]])</f>
        <v>0</v>
      </c>
      <c r="L27" s="7">
        <f>SUM(Table4[[#This Row],[δ_CCC]:[τ_HCCC]])</f>
        <v>100.02000000000001</v>
      </c>
    </row>
    <row r="28" spans="1:12" x14ac:dyDescent="0.3">
      <c r="A28">
        <v>27</v>
      </c>
      <c r="B28">
        <v>645.89260000000002</v>
      </c>
      <c r="C28">
        <v>646.16999999999996</v>
      </c>
      <c r="D28" t="s">
        <v>86</v>
      </c>
      <c r="E28" s="7">
        <v>7.1</v>
      </c>
      <c r="F28" s="7">
        <v>0</v>
      </c>
      <c r="G28" s="7">
        <v>60.680000000000007</v>
      </c>
      <c r="H28" s="7">
        <v>32.24</v>
      </c>
      <c r="I28" s="7">
        <v>0</v>
      </c>
      <c r="J28" s="7">
        <v>0</v>
      </c>
      <c r="K28" s="8">
        <f>SUM(Table4[[#This Row],[ν_CC]:[ν_CH]])</f>
        <v>7.1</v>
      </c>
      <c r="L28" s="7">
        <f>SUM(Table4[[#This Row],[δ_CCC]:[τ_HCCC]])</f>
        <v>92.920000000000016</v>
      </c>
    </row>
    <row r="29" spans="1:12" x14ac:dyDescent="0.3">
      <c r="A29">
        <v>28</v>
      </c>
      <c r="B29">
        <v>645.89260000000002</v>
      </c>
      <c r="C29">
        <v>646.16</v>
      </c>
      <c r="D29" t="s">
        <v>86</v>
      </c>
      <c r="E29" s="7">
        <v>7.12</v>
      </c>
      <c r="F29" s="7">
        <v>0</v>
      </c>
      <c r="G29" s="7">
        <v>60.64</v>
      </c>
      <c r="H29" s="7">
        <v>32.24</v>
      </c>
      <c r="I29" s="7">
        <v>0</v>
      </c>
      <c r="J29" s="7">
        <v>0</v>
      </c>
      <c r="K29" s="8">
        <f>SUM(Table4[[#This Row],[ν_CC]:[ν_CH]])</f>
        <v>7.12</v>
      </c>
      <c r="L29" s="7">
        <f>SUM(Table4[[#This Row],[δ_CCC]:[τ_HCCC]])</f>
        <v>92.88</v>
      </c>
    </row>
    <row r="30" spans="1:12" x14ac:dyDescent="0.3">
      <c r="A30">
        <v>29</v>
      </c>
      <c r="B30">
        <v>411.98469999999998</v>
      </c>
      <c r="C30">
        <v>412.13</v>
      </c>
      <c r="D30" t="s">
        <v>86</v>
      </c>
      <c r="E30" s="7">
        <v>0</v>
      </c>
      <c r="F30" s="7">
        <v>0</v>
      </c>
      <c r="G30" s="7">
        <v>0</v>
      </c>
      <c r="H30" s="7">
        <v>0</v>
      </c>
      <c r="I30" s="7">
        <v>115.24</v>
      </c>
      <c r="J30" s="7">
        <v>-15.260000000000002</v>
      </c>
      <c r="K30" s="8">
        <f>SUM(Table4[[#This Row],[ν_CC]:[ν_CH]])</f>
        <v>0</v>
      </c>
      <c r="L30" s="7">
        <f>SUM(Table4[[#This Row],[δ_CCC]:[τ_HCCC]])</f>
        <v>99.97999999999999</v>
      </c>
    </row>
    <row r="31" spans="1:12" x14ac:dyDescent="0.3">
      <c r="A31">
        <v>30</v>
      </c>
      <c r="B31">
        <v>411.98469999999998</v>
      </c>
      <c r="C31">
        <v>412.12</v>
      </c>
      <c r="D31" t="s">
        <v>86</v>
      </c>
      <c r="E31" s="7">
        <v>0</v>
      </c>
      <c r="F31" s="7">
        <v>0</v>
      </c>
      <c r="G31" s="7">
        <v>0</v>
      </c>
      <c r="H31" s="7">
        <v>0</v>
      </c>
      <c r="I31" s="7">
        <v>115.24</v>
      </c>
      <c r="J31" s="7">
        <v>-15.26</v>
      </c>
      <c r="K31" s="8">
        <f>SUM(Table4[[#This Row],[ν_CC]:[ν_CH]])</f>
        <v>0</v>
      </c>
      <c r="L31" s="7">
        <f>SUM(Table4[[#This Row],[δ_CCC]:[τ_HCCC]])</f>
        <v>99.97999999999999</v>
      </c>
    </row>
    <row r="32" spans="1:12" x14ac:dyDescent="0.3">
      <c r="A32">
        <v>1</v>
      </c>
      <c r="B32">
        <v>3223.1696000000002</v>
      </c>
      <c r="C32">
        <v>3223.49</v>
      </c>
      <c r="D32" t="s">
        <v>87</v>
      </c>
      <c r="E32" s="7">
        <v>1</v>
      </c>
      <c r="F32" s="7">
        <v>99</v>
      </c>
      <c r="G32" s="7">
        <v>0</v>
      </c>
      <c r="H32" s="7">
        <v>0</v>
      </c>
      <c r="I32" s="7">
        <v>0</v>
      </c>
      <c r="J32" s="7">
        <v>0</v>
      </c>
      <c r="K32" s="8">
        <f>SUM(Table4[[#This Row],[ν_CC]:[ν_CH]])</f>
        <v>100</v>
      </c>
      <c r="L32" s="7">
        <f>SUM(Table4[[#This Row],[δ_CCC]:[τ_HCCC]])</f>
        <v>0</v>
      </c>
    </row>
    <row r="33" spans="1:12" x14ac:dyDescent="0.3">
      <c r="A33">
        <v>2</v>
      </c>
      <c r="B33">
        <v>3209.6325000000002</v>
      </c>
      <c r="C33">
        <v>3210.47</v>
      </c>
      <c r="D33" t="s">
        <v>87</v>
      </c>
      <c r="E33" s="7">
        <v>0</v>
      </c>
      <c r="F33" s="7">
        <v>99</v>
      </c>
      <c r="G33" s="7">
        <v>0</v>
      </c>
      <c r="H33" s="7">
        <v>0</v>
      </c>
      <c r="I33" s="7">
        <v>0</v>
      </c>
      <c r="J33" s="7">
        <v>0</v>
      </c>
      <c r="K33" s="8">
        <f>SUM(Table4[[#This Row],[ν_CC]:[ν_CH]])</f>
        <v>99</v>
      </c>
      <c r="L33" s="7">
        <f>SUM(Table4[[#This Row],[δ_CCC]:[τ_HCCC]])</f>
        <v>0</v>
      </c>
    </row>
    <row r="34" spans="1:12" x14ac:dyDescent="0.3">
      <c r="A34">
        <v>3</v>
      </c>
      <c r="B34">
        <v>3209.6325000000002</v>
      </c>
      <c r="C34">
        <v>3210.45</v>
      </c>
      <c r="D34" t="s">
        <v>87</v>
      </c>
      <c r="E34" s="7">
        <v>0</v>
      </c>
      <c r="F34" s="7">
        <v>99</v>
      </c>
      <c r="G34" s="7">
        <v>0</v>
      </c>
      <c r="H34" s="7">
        <v>0</v>
      </c>
      <c r="I34" s="7">
        <v>0</v>
      </c>
      <c r="J34" s="7">
        <v>0</v>
      </c>
      <c r="K34" s="8">
        <f>SUM(Table4[[#This Row],[ν_CC]:[ν_CH]])</f>
        <v>99</v>
      </c>
      <c r="L34" s="7">
        <f>SUM(Table4[[#This Row],[δ_CCC]:[τ_HCCC]])</f>
        <v>0</v>
      </c>
    </row>
    <row r="35" spans="1:12" x14ac:dyDescent="0.3">
      <c r="A35">
        <v>4</v>
      </c>
      <c r="B35">
        <v>3191.8910000000001</v>
      </c>
      <c r="C35">
        <v>3192.2</v>
      </c>
      <c r="D35" t="s">
        <v>87</v>
      </c>
      <c r="E35" s="7">
        <v>0</v>
      </c>
      <c r="F35" s="7">
        <v>100</v>
      </c>
      <c r="G35" s="7">
        <v>0</v>
      </c>
      <c r="H35" s="7">
        <v>0</v>
      </c>
      <c r="I35" s="7">
        <v>0</v>
      </c>
      <c r="J35" s="7">
        <v>0</v>
      </c>
      <c r="K35" s="8">
        <f>SUM(Table4[[#This Row],[ν_CC]:[ν_CH]])</f>
        <v>100</v>
      </c>
      <c r="L35" s="7">
        <f>SUM(Table4[[#This Row],[δ_CCC]:[τ_HCCC]])</f>
        <v>0</v>
      </c>
    </row>
    <row r="36" spans="1:12" x14ac:dyDescent="0.3">
      <c r="A36">
        <v>5</v>
      </c>
      <c r="B36">
        <v>3191.8910000000001</v>
      </c>
      <c r="C36">
        <v>3192.19</v>
      </c>
      <c r="D36" t="s">
        <v>87</v>
      </c>
      <c r="E36" s="7">
        <v>0</v>
      </c>
      <c r="F36" s="7">
        <v>100</v>
      </c>
      <c r="G36" s="7">
        <v>0</v>
      </c>
      <c r="H36" s="7">
        <v>0</v>
      </c>
      <c r="I36" s="7">
        <v>0</v>
      </c>
      <c r="J36" s="7">
        <v>0</v>
      </c>
      <c r="K36" s="8">
        <f>SUM(Table4[[#This Row],[ν_CC]:[ν_CH]])</f>
        <v>100</v>
      </c>
      <c r="L36" s="7">
        <f>SUM(Table4[[#This Row],[δ_CCC]:[τ_HCCC]])</f>
        <v>0</v>
      </c>
    </row>
    <row r="37" spans="1:12" x14ac:dyDescent="0.3">
      <c r="A37">
        <v>6</v>
      </c>
      <c r="B37">
        <v>3182.2914999999998</v>
      </c>
      <c r="C37">
        <v>3182.59</v>
      </c>
      <c r="D37" t="s">
        <v>87</v>
      </c>
      <c r="E37" s="7">
        <v>0</v>
      </c>
      <c r="F37" s="7">
        <v>100</v>
      </c>
      <c r="G37" s="7">
        <v>0</v>
      </c>
      <c r="H37" s="7">
        <v>0</v>
      </c>
      <c r="I37" s="7">
        <v>0</v>
      </c>
      <c r="J37" s="7">
        <v>0</v>
      </c>
      <c r="K37" s="8">
        <f>SUM(Table4[[#This Row],[ν_CC]:[ν_CH]])</f>
        <v>100</v>
      </c>
      <c r="L37" s="7">
        <f>SUM(Table4[[#This Row],[δ_CCC]:[τ_HCCC]])</f>
        <v>0</v>
      </c>
    </row>
    <row r="38" spans="1:12" x14ac:dyDescent="0.3">
      <c r="A38">
        <v>7</v>
      </c>
      <c r="B38">
        <v>1598.8987</v>
      </c>
      <c r="C38">
        <v>1599.51</v>
      </c>
      <c r="D38" t="s">
        <v>87</v>
      </c>
      <c r="E38" s="7">
        <v>60</v>
      </c>
      <c r="F38" s="7">
        <v>0</v>
      </c>
      <c r="G38" s="7">
        <v>7</v>
      </c>
      <c r="H38" s="7">
        <v>32</v>
      </c>
      <c r="I38" s="7">
        <v>0</v>
      </c>
      <c r="J38" s="7">
        <v>0</v>
      </c>
      <c r="K38" s="8">
        <f>SUM(Table4[[#This Row],[ν_CC]:[ν_CH]])</f>
        <v>60</v>
      </c>
      <c r="L38" s="7">
        <f>SUM(Table4[[#This Row],[δ_CCC]:[τ_HCCC]])</f>
        <v>39</v>
      </c>
    </row>
    <row r="39" spans="1:12" x14ac:dyDescent="0.3">
      <c r="A39">
        <v>8</v>
      </c>
      <c r="B39">
        <v>1598.8987</v>
      </c>
      <c r="C39">
        <v>1599.51</v>
      </c>
      <c r="D39" t="s">
        <v>87</v>
      </c>
      <c r="E39" s="7">
        <v>60</v>
      </c>
      <c r="F39" s="7">
        <v>0</v>
      </c>
      <c r="G39" s="7">
        <v>13</v>
      </c>
      <c r="H39" s="7">
        <v>28</v>
      </c>
      <c r="I39" s="7">
        <v>0</v>
      </c>
      <c r="J39" s="7">
        <v>0</v>
      </c>
      <c r="K39" s="8">
        <f>SUM(Table4[[#This Row],[ν_CC]:[ν_CH]])</f>
        <v>60</v>
      </c>
      <c r="L39" s="7">
        <f>SUM(Table4[[#This Row],[δ_CCC]:[τ_HCCC]])</f>
        <v>41</v>
      </c>
    </row>
    <row r="40" spans="1:12" x14ac:dyDescent="0.3">
      <c r="A40">
        <v>9</v>
      </c>
      <c r="B40">
        <v>1532.8465000000001</v>
      </c>
      <c r="C40">
        <v>1533.43</v>
      </c>
      <c r="D40" t="s">
        <v>87</v>
      </c>
      <c r="E40" s="7">
        <v>5</v>
      </c>
      <c r="F40" s="7">
        <v>0</v>
      </c>
      <c r="G40" s="7">
        <v>19</v>
      </c>
      <c r="H40" s="7">
        <v>76</v>
      </c>
      <c r="I40" s="7">
        <v>0</v>
      </c>
      <c r="J40" s="7">
        <v>0</v>
      </c>
      <c r="K40" s="8">
        <f>SUM(Table4[[#This Row],[ν_CC]:[ν_CH]])</f>
        <v>5</v>
      </c>
      <c r="L40" s="7">
        <f>SUM(Table4[[#This Row],[δ_CCC]:[τ_HCCC]])</f>
        <v>95</v>
      </c>
    </row>
    <row r="41" spans="1:12" x14ac:dyDescent="0.3">
      <c r="A41">
        <v>10</v>
      </c>
      <c r="B41">
        <v>1532.8465000000001</v>
      </c>
      <c r="C41">
        <v>1533.4</v>
      </c>
      <c r="D41" t="s">
        <v>87</v>
      </c>
      <c r="E41" s="7">
        <v>6</v>
      </c>
      <c r="F41" s="7">
        <v>0</v>
      </c>
      <c r="G41" s="7">
        <v>16</v>
      </c>
      <c r="H41" s="7">
        <v>79</v>
      </c>
      <c r="I41" s="7">
        <v>0</v>
      </c>
      <c r="J41" s="7">
        <v>0</v>
      </c>
      <c r="K41" s="8">
        <f>SUM(Table4[[#This Row],[ν_CC]:[ν_CH]])</f>
        <v>6</v>
      </c>
      <c r="L41" s="7">
        <f>SUM(Table4[[#This Row],[δ_CCC]:[τ_HCCC]])</f>
        <v>95</v>
      </c>
    </row>
    <row r="42" spans="1:12" x14ac:dyDescent="0.3">
      <c r="A42">
        <v>11</v>
      </c>
      <c r="B42">
        <v>1435.4835</v>
      </c>
      <c r="C42">
        <v>1436.29</v>
      </c>
      <c r="D42" t="s">
        <v>87</v>
      </c>
      <c r="E42" s="7">
        <v>0</v>
      </c>
      <c r="F42" s="7">
        <v>0</v>
      </c>
      <c r="G42" s="7">
        <v>0</v>
      </c>
      <c r="H42" s="7">
        <v>100</v>
      </c>
      <c r="I42" s="7">
        <v>0</v>
      </c>
      <c r="J42" s="7">
        <v>0</v>
      </c>
      <c r="K42" s="8">
        <f>SUM(Table4[[#This Row],[ν_CC]:[ν_CH]])</f>
        <v>0</v>
      </c>
      <c r="L42" s="7">
        <f>SUM(Table4[[#This Row],[δ_CCC]:[τ_HCCC]])</f>
        <v>100</v>
      </c>
    </row>
    <row r="43" spans="1:12" x14ac:dyDescent="0.3">
      <c r="A43">
        <v>12</v>
      </c>
      <c r="B43">
        <v>1319.2684999999999</v>
      </c>
      <c r="C43">
        <v>1319.75</v>
      </c>
      <c r="D43" t="s">
        <v>87</v>
      </c>
      <c r="E43" s="7">
        <v>65</v>
      </c>
      <c r="F43" s="7">
        <v>0</v>
      </c>
      <c r="G43" s="7">
        <v>0</v>
      </c>
      <c r="H43" s="7">
        <v>35</v>
      </c>
      <c r="I43" s="7">
        <v>0</v>
      </c>
      <c r="J43" s="7">
        <v>0</v>
      </c>
      <c r="K43" s="8">
        <f>SUM(Table4[[#This Row],[ν_CC]:[ν_CH]])</f>
        <v>65</v>
      </c>
      <c r="L43" s="7">
        <f>SUM(Table4[[#This Row],[δ_CCC]:[τ_HCCC]])</f>
        <v>35</v>
      </c>
    </row>
    <row r="44" spans="1:12" x14ac:dyDescent="0.3">
      <c r="A44">
        <v>13</v>
      </c>
      <c r="B44">
        <v>1247.1403</v>
      </c>
      <c r="C44">
        <v>1247.31</v>
      </c>
      <c r="D44" t="s">
        <v>87</v>
      </c>
      <c r="E44" s="7">
        <v>34</v>
      </c>
      <c r="F44" s="7">
        <v>0</v>
      </c>
      <c r="G44" s="7">
        <v>-2</v>
      </c>
      <c r="H44" s="7">
        <v>69</v>
      </c>
      <c r="I44" s="7">
        <v>0</v>
      </c>
      <c r="J44" s="7">
        <v>0</v>
      </c>
      <c r="K44" s="8">
        <f>SUM(Table4[[#This Row],[ν_CC]:[ν_CH]])</f>
        <v>34</v>
      </c>
      <c r="L44" s="7">
        <f>SUM(Table4[[#This Row],[δ_CCC]:[τ_HCCC]])</f>
        <v>67</v>
      </c>
    </row>
    <row r="45" spans="1:12" x14ac:dyDescent="0.3">
      <c r="A45">
        <v>14</v>
      </c>
      <c r="B45">
        <v>1247.1403</v>
      </c>
      <c r="C45">
        <v>1247.3</v>
      </c>
      <c r="D45" t="s">
        <v>87</v>
      </c>
      <c r="E45" s="7">
        <v>33</v>
      </c>
      <c r="F45" s="7">
        <v>0</v>
      </c>
      <c r="G45" s="7">
        <v>0</v>
      </c>
      <c r="H45" s="7">
        <v>67</v>
      </c>
      <c r="I45" s="7">
        <v>0</v>
      </c>
      <c r="J45" s="7">
        <v>0</v>
      </c>
      <c r="K45" s="8">
        <f>SUM(Table4[[#This Row],[ν_CC]:[ν_CH]])</f>
        <v>33</v>
      </c>
      <c r="L45" s="7">
        <f>SUM(Table4[[#This Row],[δ_CCC]:[τ_HCCC]])</f>
        <v>67</v>
      </c>
    </row>
    <row r="46" spans="1:12" x14ac:dyDescent="0.3">
      <c r="A46">
        <v>15</v>
      </c>
      <c r="B46">
        <v>1237.2932000000001</v>
      </c>
      <c r="C46">
        <v>1237.48</v>
      </c>
      <c r="D46" t="s">
        <v>87</v>
      </c>
      <c r="E46" s="7">
        <v>35</v>
      </c>
      <c r="F46" s="7">
        <v>0</v>
      </c>
      <c r="G46" s="7">
        <v>0</v>
      </c>
      <c r="H46" s="7">
        <v>65</v>
      </c>
      <c r="I46" s="7">
        <v>0</v>
      </c>
      <c r="J46" s="7">
        <v>0</v>
      </c>
      <c r="K46" s="8">
        <f>SUM(Table4[[#This Row],[ν_CC]:[ν_CH]])</f>
        <v>35</v>
      </c>
      <c r="L46" s="7">
        <f>SUM(Table4[[#This Row],[δ_CCC]:[τ_HCCC]])</f>
        <v>65</v>
      </c>
    </row>
    <row r="47" spans="1:12" x14ac:dyDescent="0.3">
      <c r="A47">
        <v>16</v>
      </c>
      <c r="B47">
        <v>1067.4649999999999</v>
      </c>
      <c r="C47">
        <v>1067.92</v>
      </c>
      <c r="D47" t="s">
        <v>87</v>
      </c>
      <c r="E47" s="7">
        <v>0</v>
      </c>
      <c r="F47" s="7">
        <v>0</v>
      </c>
      <c r="G47" s="7">
        <v>100</v>
      </c>
      <c r="H47" s="7">
        <v>0</v>
      </c>
      <c r="I47" s="7">
        <v>0</v>
      </c>
      <c r="J47" s="7">
        <v>0</v>
      </c>
      <c r="K47" s="8">
        <f>SUM(Table4[[#This Row],[ν_CC]:[ν_CH]])</f>
        <v>0</v>
      </c>
      <c r="L47" s="7">
        <f>SUM(Table4[[#This Row],[δ_CCC]:[τ_HCCC]])</f>
        <v>100</v>
      </c>
    </row>
    <row r="48" spans="1:12" x14ac:dyDescent="0.3">
      <c r="A48">
        <v>17</v>
      </c>
      <c r="B48">
        <v>1056.3901000000001</v>
      </c>
      <c r="C48">
        <v>1056.73</v>
      </c>
      <c r="D48" t="s">
        <v>87</v>
      </c>
      <c r="E48" s="7">
        <v>87</v>
      </c>
      <c r="F48" s="7">
        <v>0</v>
      </c>
      <c r="G48" s="7">
        <v>-8</v>
      </c>
      <c r="H48" s="7">
        <v>20</v>
      </c>
      <c r="I48" s="7">
        <v>0</v>
      </c>
      <c r="J48" s="7">
        <v>0</v>
      </c>
      <c r="K48" s="8">
        <f>SUM(Table4[[#This Row],[ν_CC]:[ν_CH]])</f>
        <v>87</v>
      </c>
      <c r="L48" s="7">
        <f>SUM(Table4[[#This Row],[δ_CCC]:[τ_HCCC]])</f>
        <v>12</v>
      </c>
    </row>
    <row r="49" spans="1:12" x14ac:dyDescent="0.3">
      <c r="A49">
        <v>18</v>
      </c>
      <c r="B49">
        <v>1056.3901000000001</v>
      </c>
      <c r="C49">
        <v>1056.71</v>
      </c>
      <c r="D49" t="s">
        <v>87</v>
      </c>
      <c r="E49" s="7">
        <v>1</v>
      </c>
      <c r="F49" s="7">
        <v>0</v>
      </c>
      <c r="G49" s="7">
        <v>75</v>
      </c>
      <c r="H49" s="7">
        <v>24</v>
      </c>
      <c r="I49" s="7">
        <v>0</v>
      </c>
      <c r="J49" s="7">
        <v>0</v>
      </c>
      <c r="K49" s="8">
        <f>SUM(Table4[[#This Row],[ν_CC]:[ν_CH]])</f>
        <v>1</v>
      </c>
      <c r="L49" s="7">
        <f>SUM(Table4[[#This Row],[δ_CCC]:[τ_HCCC]])</f>
        <v>99</v>
      </c>
    </row>
    <row r="50" spans="1:12" x14ac:dyDescent="0.3">
      <c r="A50">
        <v>19</v>
      </c>
      <c r="B50">
        <v>992.58299999999997</v>
      </c>
      <c r="C50">
        <v>993</v>
      </c>
      <c r="D50" t="s">
        <v>87</v>
      </c>
      <c r="E50" s="7">
        <v>99</v>
      </c>
      <c r="F50" s="7">
        <v>1</v>
      </c>
      <c r="G50" s="7">
        <v>0</v>
      </c>
      <c r="H50" s="7">
        <v>0</v>
      </c>
      <c r="I50" s="7">
        <v>0</v>
      </c>
      <c r="J50" s="7">
        <v>0</v>
      </c>
      <c r="K50" s="8">
        <f>SUM(Table4[[#This Row],[ν_CC]:[ν_CH]])</f>
        <v>100</v>
      </c>
      <c r="L50" s="7">
        <f>SUM(Table4[[#This Row],[δ_CCC]:[τ_HCCC]])</f>
        <v>0</v>
      </c>
    </row>
    <row r="51" spans="1:12" x14ac:dyDescent="0.3">
      <c r="A51">
        <v>20</v>
      </c>
      <c r="B51">
        <v>933.5249</v>
      </c>
      <c r="C51">
        <v>933.6</v>
      </c>
      <c r="D51" t="s">
        <v>87</v>
      </c>
      <c r="E51" s="7">
        <v>0</v>
      </c>
      <c r="F51" s="7">
        <v>0</v>
      </c>
      <c r="G51" s="7">
        <v>0</v>
      </c>
      <c r="H51" s="7">
        <v>0</v>
      </c>
      <c r="I51" s="7">
        <v>9</v>
      </c>
      <c r="J51" s="7">
        <v>91</v>
      </c>
      <c r="K51" s="8">
        <f>SUM(Table4[[#This Row],[ν_CC]:[ν_CH]])</f>
        <v>0</v>
      </c>
      <c r="L51" s="7">
        <f>SUM(Table4[[#This Row],[δ_CCC]:[τ_HCCC]])</f>
        <v>100</v>
      </c>
    </row>
    <row r="52" spans="1:12" x14ac:dyDescent="0.3">
      <c r="A52">
        <v>21</v>
      </c>
      <c r="B52">
        <v>931.24170000000004</v>
      </c>
      <c r="C52">
        <v>931.41</v>
      </c>
      <c r="D52" t="s">
        <v>87</v>
      </c>
      <c r="E52" s="7">
        <v>0</v>
      </c>
      <c r="F52" s="7">
        <v>0</v>
      </c>
      <c r="G52" s="7">
        <v>0</v>
      </c>
      <c r="H52" s="7">
        <v>0</v>
      </c>
      <c r="I52" s="7">
        <v>21</v>
      </c>
      <c r="J52" s="7">
        <v>80</v>
      </c>
      <c r="K52" s="8">
        <f>SUM(Table4[[#This Row],[ν_CC]:[ν_CH]])</f>
        <v>0</v>
      </c>
      <c r="L52" s="7">
        <f>SUM(Table4[[#This Row],[δ_CCC]:[τ_HCCC]])</f>
        <v>101</v>
      </c>
    </row>
    <row r="53" spans="1:12" x14ac:dyDescent="0.3">
      <c r="A53">
        <v>22</v>
      </c>
      <c r="B53">
        <v>931.24170000000004</v>
      </c>
      <c r="C53">
        <v>931.4</v>
      </c>
      <c r="D53" t="s">
        <v>87</v>
      </c>
      <c r="E53" s="7">
        <v>0</v>
      </c>
      <c r="F53" s="7">
        <v>0</v>
      </c>
      <c r="G53" s="7">
        <v>0</v>
      </c>
      <c r="H53" s="7">
        <v>0</v>
      </c>
      <c r="I53" s="7">
        <v>9</v>
      </c>
      <c r="J53" s="7">
        <v>91</v>
      </c>
      <c r="K53" s="8">
        <f>SUM(Table4[[#This Row],[ν_CC]:[ν_CH]])</f>
        <v>0</v>
      </c>
      <c r="L53" s="7">
        <f>SUM(Table4[[#This Row],[δ_CCC]:[τ_HCCC]])</f>
        <v>100</v>
      </c>
    </row>
    <row r="54" spans="1:12" x14ac:dyDescent="0.3">
      <c r="A54">
        <v>23</v>
      </c>
      <c r="B54">
        <v>852.23140000000001</v>
      </c>
      <c r="C54">
        <v>852.72</v>
      </c>
      <c r="D54" t="s">
        <v>87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100</v>
      </c>
      <c r="K54" s="8">
        <f>SUM(Table4[[#This Row],[ν_CC]:[ν_CH]])</f>
        <v>0</v>
      </c>
      <c r="L54" s="7">
        <f>SUM(Table4[[#This Row],[δ_CCC]:[τ_HCCC]])</f>
        <v>100</v>
      </c>
    </row>
    <row r="55" spans="1:12" x14ac:dyDescent="0.3">
      <c r="A55">
        <v>24</v>
      </c>
      <c r="B55">
        <v>852.23140000000001</v>
      </c>
      <c r="C55">
        <v>852.7</v>
      </c>
      <c r="D55" t="s">
        <v>87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100</v>
      </c>
      <c r="K55" s="8">
        <f>SUM(Table4[[#This Row],[ν_CC]:[ν_CH]])</f>
        <v>0</v>
      </c>
      <c r="L55" s="7">
        <f>SUM(Table4[[#This Row],[δ_CCC]:[τ_HCCC]])</f>
        <v>100</v>
      </c>
    </row>
    <row r="56" spans="1:12" x14ac:dyDescent="0.3">
      <c r="A56">
        <v>25</v>
      </c>
      <c r="B56">
        <v>684.1694</v>
      </c>
      <c r="C56">
        <v>684.48</v>
      </c>
      <c r="D56" t="s">
        <v>87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100</v>
      </c>
      <c r="K56" s="8">
        <f>SUM(Table4[[#This Row],[ν_CC]:[ν_CH]])</f>
        <v>0</v>
      </c>
      <c r="L56" s="7">
        <f>SUM(Table4[[#This Row],[δ_CCC]:[τ_HCCC]])</f>
        <v>100</v>
      </c>
    </row>
    <row r="57" spans="1:12" x14ac:dyDescent="0.3">
      <c r="A57">
        <v>26</v>
      </c>
      <c r="B57">
        <v>678.16520000000003</v>
      </c>
      <c r="C57">
        <v>678.46</v>
      </c>
      <c r="D57" t="s">
        <v>87</v>
      </c>
      <c r="E57" s="7">
        <v>0</v>
      </c>
      <c r="F57" s="7">
        <v>0</v>
      </c>
      <c r="G57" s="7">
        <v>0</v>
      </c>
      <c r="H57" s="7">
        <v>0</v>
      </c>
      <c r="I57" s="7">
        <v>91</v>
      </c>
      <c r="J57" s="7">
        <v>9</v>
      </c>
      <c r="K57" s="8">
        <f>SUM(Table4[[#This Row],[ν_CC]:[ν_CH]])</f>
        <v>0</v>
      </c>
      <c r="L57" s="7">
        <f>SUM(Table4[[#This Row],[δ_CCC]:[τ_HCCC]])</f>
        <v>100</v>
      </c>
    </row>
    <row r="58" spans="1:12" x14ac:dyDescent="0.3">
      <c r="A58">
        <v>27</v>
      </c>
      <c r="B58">
        <v>645.89260000000002</v>
      </c>
      <c r="C58">
        <v>646.16999999999996</v>
      </c>
      <c r="D58" t="s">
        <v>87</v>
      </c>
      <c r="E58" s="7">
        <v>6</v>
      </c>
      <c r="F58" s="7">
        <v>0</v>
      </c>
      <c r="G58" s="7">
        <v>92</v>
      </c>
      <c r="H58" s="7">
        <v>1</v>
      </c>
      <c r="I58" s="7">
        <v>0</v>
      </c>
      <c r="J58" s="7">
        <v>0</v>
      </c>
      <c r="K58" s="8">
        <f>SUM(Table4[[#This Row],[ν_CC]:[ν_CH]])</f>
        <v>6</v>
      </c>
      <c r="L58" s="7">
        <f>SUM(Table4[[#This Row],[δ_CCC]:[τ_HCCC]])</f>
        <v>93</v>
      </c>
    </row>
    <row r="59" spans="1:12" x14ac:dyDescent="0.3">
      <c r="A59">
        <v>28</v>
      </c>
      <c r="B59">
        <v>645.89260000000002</v>
      </c>
      <c r="C59">
        <v>646.16</v>
      </c>
      <c r="D59" t="s">
        <v>87</v>
      </c>
      <c r="E59" s="7">
        <v>7</v>
      </c>
      <c r="F59" s="7">
        <v>0</v>
      </c>
      <c r="G59" s="7">
        <v>90</v>
      </c>
      <c r="H59" s="7">
        <v>3</v>
      </c>
      <c r="I59" s="7">
        <v>0</v>
      </c>
      <c r="J59" s="7">
        <v>0</v>
      </c>
      <c r="K59" s="8">
        <f>SUM(Table4[[#This Row],[ν_CC]:[ν_CH]])</f>
        <v>7</v>
      </c>
      <c r="L59" s="7">
        <f>SUM(Table4[[#This Row],[δ_CCC]:[τ_HCCC]])</f>
        <v>93</v>
      </c>
    </row>
    <row r="60" spans="1:12" x14ac:dyDescent="0.3">
      <c r="A60">
        <v>29</v>
      </c>
      <c r="B60">
        <v>411.98469999999998</v>
      </c>
      <c r="C60">
        <v>412.13</v>
      </c>
      <c r="D60" t="s">
        <v>87</v>
      </c>
      <c r="E60" s="7">
        <v>0</v>
      </c>
      <c r="F60" s="7">
        <v>0</v>
      </c>
      <c r="G60" s="7">
        <v>0</v>
      </c>
      <c r="H60" s="7">
        <v>0</v>
      </c>
      <c r="I60" s="7">
        <v>87</v>
      </c>
      <c r="J60" s="7">
        <v>11</v>
      </c>
      <c r="K60" s="8">
        <f>SUM(Table4[[#This Row],[ν_CC]:[ν_CH]])</f>
        <v>0</v>
      </c>
      <c r="L60" s="7">
        <f>SUM(Table4[[#This Row],[δ_CCC]:[τ_HCCC]])</f>
        <v>98</v>
      </c>
    </row>
    <row r="61" spans="1:12" x14ac:dyDescent="0.3">
      <c r="A61">
        <v>30</v>
      </c>
      <c r="B61">
        <v>411.98469999999998</v>
      </c>
      <c r="C61">
        <v>412.12</v>
      </c>
      <c r="D61" t="s">
        <v>87</v>
      </c>
      <c r="E61" s="7">
        <v>0</v>
      </c>
      <c r="F61" s="7">
        <v>0</v>
      </c>
      <c r="G61" s="7">
        <v>0</v>
      </c>
      <c r="H61" s="7">
        <v>0</v>
      </c>
      <c r="I61" s="7">
        <v>83</v>
      </c>
      <c r="J61" s="7">
        <v>17</v>
      </c>
      <c r="K61" s="8">
        <f>SUM(Table4[[#This Row],[ν_CC]:[ν_CH]])</f>
        <v>0</v>
      </c>
      <c r="L61" s="7">
        <f>SUM(Table4[[#This Row],[δ_CCC]:[τ_HCCC]])</f>
        <v>100</v>
      </c>
    </row>
  </sheetData>
  <phoneticPr fontId="19" type="noConversion"/>
  <conditionalFormatting sqref="K2:L61">
    <cfRule type="colorScale" priority="8">
      <colorScale>
        <cfvo type="min"/>
        <cfvo type="max"/>
        <color rgb="FFFCFCFF"/>
        <color rgb="FF63BE7B"/>
      </colorScale>
    </cfRule>
  </conditionalFormatting>
  <conditionalFormatting sqref="E2:J6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ignoredErrors>
    <ignoredError sqref="E2:J61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76CB-9B61-4259-9FB4-B709B81BFCC7}">
  <dimension ref="A1:AZ31"/>
  <sheetViews>
    <sheetView workbookViewId="0"/>
  </sheetViews>
  <sheetFormatPr defaultRowHeight="14" x14ac:dyDescent="0.3"/>
  <cols>
    <col min="2" max="3" width="21.4140625" customWidth="1"/>
    <col min="4" max="10" width="17" customWidth="1"/>
    <col min="11" max="13" width="17.1640625" customWidth="1"/>
    <col min="14" max="17" width="18.33203125" customWidth="1"/>
    <col min="18" max="24" width="18.25" customWidth="1"/>
    <col min="25" max="30" width="18.4140625" customWidth="1"/>
    <col min="31" max="37" width="19.58203125" customWidth="1"/>
    <col min="38" max="44" width="22.1640625" customWidth="1"/>
    <col min="45" max="47" width="23.08203125" customWidth="1"/>
    <col min="48" max="51" width="24.25" customWidth="1"/>
  </cols>
  <sheetData>
    <row r="1" spans="1:52" x14ac:dyDescent="0.3">
      <c r="A1" t="s">
        <v>0</v>
      </c>
      <c r="B1" t="s">
        <v>1</v>
      </c>
      <c r="C1" t="s">
        <v>88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s="2" t="s">
        <v>76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s="2" t="s">
        <v>75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s="2" t="s">
        <v>78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s="2" t="s">
        <v>82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68</v>
      </c>
      <c r="AR1" s="2" t="s">
        <v>80</v>
      </c>
      <c r="AS1" t="s">
        <v>69</v>
      </c>
      <c r="AT1" t="s">
        <v>70</v>
      </c>
      <c r="AU1" t="s">
        <v>71</v>
      </c>
      <c r="AV1" t="s">
        <v>72</v>
      </c>
      <c r="AW1" t="s">
        <v>73</v>
      </c>
      <c r="AX1" t="s">
        <v>74</v>
      </c>
      <c r="AY1" s="2" t="s">
        <v>83</v>
      </c>
      <c r="AZ1" s="3" t="s">
        <v>81</v>
      </c>
    </row>
    <row r="2" spans="1:52" x14ac:dyDescent="0.3">
      <c r="A2">
        <v>1</v>
      </c>
      <c r="B2">
        <v>3223.1696000000002</v>
      </c>
      <c r="C2" t="s">
        <v>86</v>
      </c>
      <c r="D2">
        <v>0.13</v>
      </c>
      <c r="E2">
        <v>0.13</v>
      </c>
      <c r="F2">
        <v>0.13</v>
      </c>
      <c r="G2">
        <v>0.13</v>
      </c>
      <c r="H2">
        <v>0.13</v>
      </c>
      <c r="I2">
        <v>0.13</v>
      </c>
      <c r="J2">
        <f>SUM(Manual[[#This Row],[CC_stretch_1-2]:[CC_stretch_6-1]])</f>
        <v>0.78</v>
      </c>
      <c r="K2">
        <v>16.53</v>
      </c>
      <c r="L2">
        <v>16.53</v>
      </c>
      <c r="M2">
        <v>16.53</v>
      </c>
      <c r="N2">
        <v>16.53</v>
      </c>
      <c r="O2">
        <v>16.53</v>
      </c>
      <c r="P2">
        <v>16.53</v>
      </c>
      <c r="Q2">
        <f>SUM(Manual[[#This Row],[CH_stretch_1-7]:[CH_stretch_6-12]])</f>
        <v>99.18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f>SUM(Manual[[#This Row],[CCC_bend_6-1-2]:[CCC_bend_5-6-1]])</f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SUM(Manual[[#This Row],[CCH_bend_2-1-7]:[CCH_bend_12-6-5]])</f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f>SUM(Manual[[#This Row],[ring_torsion_6-1-2-3]:[ring_torsion_5-6-1-2]])</f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f>SUM(Manual[[#This Row],[CH_wag_oop_6-1-2-7]:[CH_wag_oop_5-6-1-12]])</f>
        <v>0</v>
      </c>
      <c r="AZ2">
        <f>Manual[[#This Row],[ν_CC]]+Manual[[#This Row],[ν_CH]]+Manual[[#This Row],[δ_CCC]]+Manual[[#This Row],[δ_HCC]]+Manual[[#This Row],[τ_CCCC]]+Manual[[#This Row],[τ_HCCC]]</f>
        <v>99.960000000000008</v>
      </c>
    </row>
    <row r="3" spans="1:52" x14ac:dyDescent="0.3">
      <c r="A3">
        <v>2</v>
      </c>
      <c r="B3">
        <v>3209.6325000000002</v>
      </c>
      <c r="C3" t="s">
        <v>86</v>
      </c>
      <c r="D3">
        <v>0.02</v>
      </c>
      <c r="E3">
        <v>0.08</v>
      </c>
      <c r="F3">
        <v>0.02</v>
      </c>
      <c r="G3">
        <v>0.02</v>
      </c>
      <c r="H3">
        <v>0.08</v>
      </c>
      <c r="I3">
        <v>0.02</v>
      </c>
      <c r="J3">
        <f>SUM(Manual[[#This Row],[CC_stretch_1-2]:[CC_stretch_6-1]])</f>
        <v>0.24000000000000002</v>
      </c>
      <c r="K3">
        <v>0.08</v>
      </c>
      <c r="L3">
        <v>26.27</v>
      </c>
      <c r="M3">
        <v>23.39</v>
      </c>
      <c r="N3">
        <v>0.08</v>
      </c>
      <c r="O3">
        <v>26.27</v>
      </c>
      <c r="P3">
        <v>23.39</v>
      </c>
      <c r="Q3">
        <f>SUM(Manual[[#This Row],[CH_stretch_1-7]:[CH_stretch_6-12]])</f>
        <v>99.47999999999999</v>
      </c>
      <c r="R3">
        <v>0</v>
      </c>
      <c r="S3">
        <v>0.03</v>
      </c>
      <c r="T3">
        <v>0.03</v>
      </c>
      <c r="U3">
        <v>0</v>
      </c>
      <c r="V3">
        <v>0.03</v>
      </c>
      <c r="W3">
        <v>0.03</v>
      </c>
      <c r="X3">
        <f>SUM(Manual[[#This Row],[CCC_bend_6-1-2]:[CCC_bend_5-6-1]])</f>
        <v>0.12</v>
      </c>
      <c r="Y3">
        <v>0.01</v>
      </c>
      <c r="Z3">
        <v>0.01</v>
      </c>
      <c r="AA3">
        <v>0</v>
      </c>
      <c r="AB3">
        <v>0.02</v>
      </c>
      <c r="AC3">
        <v>0.02</v>
      </c>
      <c r="AD3">
        <v>0</v>
      </c>
      <c r="AE3">
        <v>0.01</v>
      </c>
      <c r="AF3">
        <v>0.01</v>
      </c>
      <c r="AG3">
        <v>0</v>
      </c>
      <c r="AH3">
        <v>0.02</v>
      </c>
      <c r="AI3">
        <v>0.02</v>
      </c>
      <c r="AJ3">
        <v>0</v>
      </c>
      <c r="AK3">
        <f>SUM(Manual[[#This Row],[CCH_bend_2-1-7]:[CCH_bend_12-6-5]])</f>
        <v>0.12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f>SUM(Manual[[#This Row],[ring_torsion_6-1-2-3]:[ring_torsion_5-6-1-2]])</f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f>SUM(Manual[[#This Row],[CH_wag_oop_6-1-2-7]:[CH_wag_oop_5-6-1-12]])</f>
        <v>0</v>
      </c>
      <c r="AZ3">
        <f>Manual[[#This Row],[ν_CC]]+Manual[[#This Row],[ν_CH]]+Manual[[#This Row],[δ_CCC]]+Manual[[#This Row],[δ_HCC]]+Manual[[#This Row],[τ_CCCC]]+Manual[[#This Row],[τ_HCCC]]</f>
        <v>99.96</v>
      </c>
    </row>
    <row r="4" spans="1:52" x14ac:dyDescent="0.3">
      <c r="A4">
        <v>3</v>
      </c>
      <c r="B4">
        <v>3209.6325000000002</v>
      </c>
      <c r="C4" t="s">
        <v>86</v>
      </c>
      <c r="D4">
        <v>0.06</v>
      </c>
      <c r="E4">
        <v>0</v>
      </c>
      <c r="F4">
        <v>7.0000000000000007E-2</v>
      </c>
      <c r="G4">
        <v>0.06</v>
      </c>
      <c r="H4">
        <v>0</v>
      </c>
      <c r="I4">
        <v>7.0000000000000007E-2</v>
      </c>
      <c r="J4">
        <f>SUM(Manual[[#This Row],[CC_stretch_1-2]:[CC_stretch_6-1]])</f>
        <v>0.26</v>
      </c>
      <c r="K4">
        <v>33.08</v>
      </c>
      <c r="L4">
        <v>6.89</v>
      </c>
      <c r="M4">
        <v>9.77</v>
      </c>
      <c r="N4">
        <v>33.08</v>
      </c>
      <c r="O4">
        <v>6.89</v>
      </c>
      <c r="P4">
        <v>9.77</v>
      </c>
      <c r="Q4">
        <f>SUM(Manual[[#This Row],[CH_stretch_1-7]:[CH_stretch_6-12]])</f>
        <v>99.47999999999999</v>
      </c>
      <c r="R4">
        <v>0.04</v>
      </c>
      <c r="S4">
        <v>0.01</v>
      </c>
      <c r="T4">
        <v>0.01</v>
      </c>
      <c r="U4">
        <v>0.04</v>
      </c>
      <c r="V4">
        <v>0.01</v>
      </c>
      <c r="W4">
        <v>0.01</v>
      </c>
      <c r="X4">
        <f>SUM(Manual[[#This Row],[CCC_bend_6-1-2]:[CCC_bend_5-6-1]])</f>
        <v>0.12</v>
      </c>
      <c r="Y4">
        <v>0.01</v>
      </c>
      <c r="Z4">
        <v>0.01</v>
      </c>
      <c r="AA4">
        <v>0.02</v>
      </c>
      <c r="AB4">
        <v>0</v>
      </c>
      <c r="AC4">
        <v>0</v>
      </c>
      <c r="AD4">
        <v>0.02</v>
      </c>
      <c r="AE4">
        <v>0.01</v>
      </c>
      <c r="AF4">
        <v>0.01</v>
      </c>
      <c r="AG4">
        <v>0.02</v>
      </c>
      <c r="AH4">
        <v>0</v>
      </c>
      <c r="AI4">
        <v>0</v>
      </c>
      <c r="AJ4">
        <v>0.02</v>
      </c>
      <c r="AK4">
        <f>SUM(Manual[[#This Row],[CCH_bend_2-1-7]:[CCH_bend_12-6-5]])</f>
        <v>0.12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f>SUM(Manual[[#This Row],[ring_torsion_6-1-2-3]:[ring_torsion_5-6-1-2]])</f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f>SUM(Manual[[#This Row],[CH_wag_oop_6-1-2-7]:[CH_wag_oop_5-6-1-12]])</f>
        <v>0</v>
      </c>
      <c r="AZ4">
        <f>Manual[[#This Row],[ν_CC]]+Manual[[#This Row],[ν_CH]]+Manual[[#This Row],[δ_CCC]]+Manual[[#This Row],[δ_HCC]]+Manual[[#This Row],[τ_CCCC]]+Manual[[#This Row],[τ_HCCC]]</f>
        <v>99.98</v>
      </c>
    </row>
    <row r="5" spans="1:52" x14ac:dyDescent="0.3">
      <c r="A5">
        <v>4</v>
      </c>
      <c r="B5">
        <v>3191.8910000000001</v>
      </c>
      <c r="C5" t="s">
        <v>86</v>
      </c>
      <c r="D5">
        <v>0.03</v>
      </c>
      <c r="E5">
        <v>0.01</v>
      </c>
      <c r="F5">
        <v>0.01</v>
      </c>
      <c r="G5">
        <v>0.03</v>
      </c>
      <c r="H5">
        <v>0.01</v>
      </c>
      <c r="I5">
        <v>0.01</v>
      </c>
      <c r="J5">
        <f>SUM(Manual[[#This Row],[CC_stretch_1-2]:[CC_stretch_6-1]])</f>
        <v>9.9999999999999992E-2</v>
      </c>
      <c r="K5">
        <v>11.67</v>
      </c>
      <c r="L5">
        <v>5.37</v>
      </c>
      <c r="M5">
        <v>32.869999999999997</v>
      </c>
      <c r="N5">
        <v>11.67</v>
      </c>
      <c r="O5">
        <v>5.37</v>
      </c>
      <c r="P5">
        <v>32.869999999999997</v>
      </c>
      <c r="Q5">
        <f>SUM(Manual[[#This Row],[CH_stretch_1-7]:[CH_stretch_6-12]])</f>
        <v>99.82</v>
      </c>
      <c r="R5">
        <v>0</v>
      </c>
      <c r="S5">
        <v>0</v>
      </c>
      <c r="T5">
        <v>0.01</v>
      </c>
      <c r="U5">
        <v>0</v>
      </c>
      <c r="V5">
        <v>0</v>
      </c>
      <c r="W5">
        <v>0.01</v>
      </c>
      <c r="X5">
        <f>SUM(Manual[[#This Row],[CCC_bend_6-1-2]:[CCC_bend_5-6-1]])</f>
        <v>0.02</v>
      </c>
      <c r="Y5">
        <v>0</v>
      </c>
      <c r="Z5">
        <v>0.01</v>
      </c>
      <c r="AA5">
        <v>0.01</v>
      </c>
      <c r="AB5">
        <v>0</v>
      </c>
      <c r="AC5">
        <v>0</v>
      </c>
      <c r="AD5">
        <v>0</v>
      </c>
      <c r="AE5">
        <v>0</v>
      </c>
      <c r="AF5">
        <v>0.01</v>
      </c>
      <c r="AG5">
        <v>0.01</v>
      </c>
      <c r="AH5">
        <v>0</v>
      </c>
      <c r="AI5">
        <v>0</v>
      </c>
      <c r="AJ5">
        <v>0</v>
      </c>
      <c r="AK5">
        <f>SUM(Manual[[#This Row],[CCH_bend_2-1-7]:[CCH_bend_12-6-5]])</f>
        <v>0.04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f>SUM(Manual[[#This Row],[ring_torsion_6-1-2-3]:[ring_torsion_5-6-1-2]])</f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f>SUM(Manual[[#This Row],[CH_wag_oop_6-1-2-7]:[CH_wag_oop_5-6-1-12]])</f>
        <v>0</v>
      </c>
      <c r="AZ5">
        <f>Manual[[#This Row],[ν_CC]]+Manual[[#This Row],[ν_CH]]+Manual[[#This Row],[δ_CCC]]+Manual[[#This Row],[δ_HCC]]+Manual[[#This Row],[τ_CCCC]]+Manual[[#This Row],[τ_HCCC]]</f>
        <v>99.97999999999999</v>
      </c>
    </row>
    <row r="6" spans="1:52" x14ac:dyDescent="0.3">
      <c r="A6">
        <v>5</v>
      </c>
      <c r="B6">
        <v>3191.8910000000001</v>
      </c>
      <c r="C6" t="s">
        <v>86</v>
      </c>
      <c r="D6">
        <v>0</v>
      </c>
      <c r="E6">
        <v>0.02</v>
      </c>
      <c r="F6">
        <v>0.03</v>
      </c>
      <c r="G6">
        <v>0</v>
      </c>
      <c r="H6">
        <v>0.02</v>
      </c>
      <c r="I6">
        <v>0.03</v>
      </c>
      <c r="J6">
        <f>SUM(Manual[[#This Row],[CC_stretch_1-2]:[CC_stretch_6-1]])</f>
        <v>0.1</v>
      </c>
      <c r="K6">
        <v>21.6</v>
      </c>
      <c r="L6">
        <v>27.9</v>
      </c>
      <c r="M6">
        <v>0.4</v>
      </c>
      <c r="N6">
        <v>21.6</v>
      </c>
      <c r="O6">
        <v>27.9</v>
      </c>
      <c r="P6">
        <v>0.4</v>
      </c>
      <c r="Q6">
        <f>SUM(Manual[[#This Row],[CH_stretch_1-7]:[CH_stretch_6-12]])</f>
        <v>99.800000000000011</v>
      </c>
      <c r="R6">
        <v>0.01</v>
      </c>
      <c r="S6">
        <v>0.01</v>
      </c>
      <c r="T6">
        <v>0</v>
      </c>
      <c r="U6">
        <v>0.01</v>
      </c>
      <c r="V6">
        <v>0.01</v>
      </c>
      <c r="W6">
        <v>0</v>
      </c>
      <c r="X6">
        <f>SUM(Manual[[#This Row],[CCC_bend_6-1-2]:[CCC_bend_5-6-1]])</f>
        <v>0.04</v>
      </c>
      <c r="Y6">
        <v>0.01</v>
      </c>
      <c r="Z6">
        <v>0</v>
      </c>
      <c r="AA6">
        <v>0</v>
      </c>
      <c r="AB6">
        <v>0.01</v>
      </c>
      <c r="AC6">
        <v>0</v>
      </c>
      <c r="AD6">
        <v>0.01</v>
      </c>
      <c r="AE6">
        <v>0.01</v>
      </c>
      <c r="AF6">
        <v>0</v>
      </c>
      <c r="AG6">
        <v>0</v>
      </c>
      <c r="AH6">
        <v>0.01</v>
      </c>
      <c r="AI6">
        <v>0</v>
      </c>
      <c r="AJ6">
        <v>0.01</v>
      </c>
      <c r="AK6">
        <f>SUM(Manual[[#This Row],[CCH_bend_2-1-7]:[CCH_bend_12-6-5]])</f>
        <v>6.0000000000000005E-2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f>SUM(Manual[[#This Row],[ring_torsion_6-1-2-3]:[ring_torsion_5-6-1-2]])</f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f>SUM(Manual[[#This Row],[CH_wag_oop_6-1-2-7]:[CH_wag_oop_5-6-1-12]])</f>
        <v>0</v>
      </c>
      <c r="AZ6">
        <f>Manual[[#This Row],[ν_CC]]+Manual[[#This Row],[ν_CH]]+Manual[[#This Row],[δ_CCC]]+Manual[[#This Row],[δ_HCC]]+Manual[[#This Row],[τ_CCCC]]+Manual[[#This Row],[τ_HCCC]]</f>
        <v>100.00000000000001</v>
      </c>
    </row>
    <row r="7" spans="1:52" x14ac:dyDescent="0.3">
      <c r="A7">
        <v>6</v>
      </c>
      <c r="B7">
        <v>3182.2914999999998</v>
      </c>
      <c r="C7" t="s">
        <v>86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f>SUM(Manual[[#This Row],[CC_stretch_1-2]:[CC_stretch_6-1]])</f>
        <v>0</v>
      </c>
      <c r="K7">
        <v>16.649999999999999</v>
      </c>
      <c r="L7">
        <v>16.649999999999999</v>
      </c>
      <c r="M7">
        <v>16.649999999999999</v>
      </c>
      <c r="N7">
        <v>16.649999999999999</v>
      </c>
      <c r="O7">
        <v>16.649999999999999</v>
      </c>
      <c r="P7">
        <v>16.649999999999999</v>
      </c>
      <c r="Q7">
        <f>SUM(Manual[[#This Row],[CH_stretch_1-7]:[CH_stretch_6-12]])</f>
        <v>99.9</v>
      </c>
      <c r="R7">
        <v>0.01</v>
      </c>
      <c r="S7">
        <v>0.01</v>
      </c>
      <c r="T7">
        <v>0.01</v>
      </c>
      <c r="U7">
        <v>0.01</v>
      </c>
      <c r="V7">
        <v>0.01</v>
      </c>
      <c r="W7">
        <v>0.01</v>
      </c>
      <c r="X7">
        <f>SUM(Manual[[#This Row],[CCC_bend_6-1-2]:[CCC_bend_5-6-1]])</f>
        <v>6.0000000000000005E-2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>SUM(Manual[[#This Row],[CCH_bend_2-1-7]:[CCH_bend_12-6-5]])</f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f>SUM(Manual[[#This Row],[ring_torsion_6-1-2-3]:[ring_torsion_5-6-1-2]])</f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f>SUM(Manual[[#This Row],[CH_wag_oop_6-1-2-7]:[CH_wag_oop_5-6-1-12]])</f>
        <v>0</v>
      </c>
      <c r="AZ7">
        <f>Manual[[#This Row],[ν_CC]]+Manual[[#This Row],[ν_CH]]+Manual[[#This Row],[δ_CCC]]+Manual[[#This Row],[δ_HCC]]+Manual[[#This Row],[τ_CCCC]]+Manual[[#This Row],[τ_HCCC]]</f>
        <v>99.960000000000008</v>
      </c>
    </row>
    <row r="8" spans="1:52" x14ac:dyDescent="0.3">
      <c r="A8">
        <v>7</v>
      </c>
      <c r="B8">
        <v>1598.8987</v>
      </c>
      <c r="C8" t="s">
        <v>86</v>
      </c>
      <c r="D8">
        <v>8.83</v>
      </c>
      <c r="E8">
        <v>1.94</v>
      </c>
      <c r="F8">
        <v>19.059999999999999</v>
      </c>
      <c r="G8">
        <v>8.83</v>
      </c>
      <c r="H8">
        <v>1.94</v>
      </c>
      <c r="I8">
        <v>19.059999999999999</v>
      </c>
      <c r="J8">
        <f>SUM(Manual[[#This Row],[CC_stretch_1-2]:[CC_stretch_6-1]])</f>
        <v>59.66</v>
      </c>
      <c r="K8">
        <v>0.01</v>
      </c>
      <c r="L8">
        <v>0.06</v>
      </c>
      <c r="M8">
        <v>0.03</v>
      </c>
      <c r="N8">
        <v>0.01</v>
      </c>
      <c r="O8">
        <v>0.06</v>
      </c>
      <c r="P8">
        <v>0.03</v>
      </c>
      <c r="Q8">
        <f>SUM(Manual[[#This Row],[CH_stretch_1-7]:[CH_stretch_6-12]])</f>
        <v>0.19999999999999998</v>
      </c>
      <c r="R8">
        <v>0.22</v>
      </c>
      <c r="S8">
        <v>2.15</v>
      </c>
      <c r="T8">
        <v>1</v>
      </c>
      <c r="U8">
        <v>0.22</v>
      </c>
      <c r="V8">
        <v>2.15</v>
      </c>
      <c r="W8">
        <v>1</v>
      </c>
      <c r="X8">
        <f>SUM(Manual[[#This Row],[CCC_bend_6-1-2]:[CCC_bend_5-6-1]])</f>
        <v>6.74</v>
      </c>
      <c r="Y8">
        <v>5.61</v>
      </c>
      <c r="Z8">
        <v>3.55</v>
      </c>
      <c r="AA8">
        <v>1.44</v>
      </c>
      <c r="AB8">
        <v>0.05</v>
      </c>
      <c r="AC8">
        <v>1.31</v>
      </c>
      <c r="AD8">
        <v>4.76</v>
      </c>
      <c r="AE8">
        <v>5.61</v>
      </c>
      <c r="AF8">
        <v>3.55</v>
      </c>
      <c r="AG8">
        <v>1.44</v>
      </c>
      <c r="AH8">
        <v>0.05</v>
      </c>
      <c r="AI8">
        <v>1.31</v>
      </c>
      <c r="AJ8">
        <v>4.76</v>
      </c>
      <c r="AK8">
        <f>SUM(Manual[[#This Row],[CCH_bend_2-1-7]:[CCH_bend_12-6-5]])</f>
        <v>33.44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f>SUM(Manual[[#This Row],[ring_torsion_6-1-2-3]:[ring_torsion_5-6-1-2]])</f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f>SUM(Manual[[#This Row],[CH_wag_oop_6-1-2-7]:[CH_wag_oop_5-6-1-12]])</f>
        <v>0</v>
      </c>
      <c r="AZ8">
        <f>Manual[[#This Row],[ν_CC]]+Manual[[#This Row],[ν_CH]]+Manual[[#This Row],[δ_CCC]]+Manual[[#This Row],[δ_HCC]]+Manual[[#This Row],[τ_CCCC]]+Manual[[#This Row],[τ_HCCC]]</f>
        <v>100.03999999999999</v>
      </c>
    </row>
    <row r="9" spans="1:52" x14ac:dyDescent="0.3">
      <c r="A9">
        <v>8</v>
      </c>
      <c r="B9">
        <v>1598.8987</v>
      </c>
      <c r="C9" t="s">
        <v>86</v>
      </c>
      <c r="D9">
        <v>11.05</v>
      </c>
      <c r="E9">
        <v>17.95</v>
      </c>
      <c r="F9">
        <v>0.83</v>
      </c>
      <c r="G9">
        <v>11.05</v>
      </c>
      <c r="H9">
        <v>17.95</v>
      </c>
      <c r="I9">
        <v>0.83</v>
      </c>
      <c r="J9">
        <f>SUM(Manual[[#This Row],[CC_stretch_1-2]:[CC_stretch_6-1]])</f>
        <v>59.66</v>
      </c>
      <c r="K9">
        <v>0.06</v>
      </c>
      <c r="L9">
        <v>0</v>
      </c>
      <c r="M9">
        <v>0.03</v>
      </c>
      <c r="N9">
        <v>0.06</v>
      </c>
      <c r="O9">
        <v>0</v>
      </c>
      <c r="P9">
        <v>0.03</v>
      </c>
      <c r="Q9">
        <f>SUM(Manual[[#This Row],[CH_stretch_1-7]:[CH_stretch_6-12]])</f>
        <v>0.18</v>
      </c>
      <c r="R9">
        <v>2.02</v>
      </c>
      <c r="S9">
        <v>0.09</v>
      </c>
      <c r="T9">
        <v>1.25</v>
      </c>
      <c r="U9">
        <v>2.02</v>
      </c>
      <c r="V9">
        <v>0.09</v>
      </c>
      <c r="W9">
        <v>1.25</v>
      </c>
      <c r="X9">
        <f>SUM(Manual[[#This Row],[CCC_bend_6-1-2]:[CCC_bend_5-6-1]])</f>
        <v>6.72</v>
      </c>
      <c r="Y9">
        <v>-0.03</v>
      </c>
      <c r="Z9">
        <v>2.02</v>
      </c>
      <c r="AA9">
        <v>4.13</v>
      </c>
      <c r="AB9">
        <v>5.52</v>
      </c>
      <c r="AC9">
        <v>4.26</v>
      </c>
      <c r="AD9">
        <v>0.82</v>
      </c>
      <c r="AE9">
        <v>-0.03</v>
      </c>
      <c r="AF9">
        <v>2.02</v>
      </c>
      <c r="AG9">
        <v>4.13</v>
      </c>
      <c r="AH9">
        <v>5.52</v>
      </c>
      <c r="AI9">
        <v>4.26</v>
      </c>
      <c r="AJ9">
        <v>0.82</v>
      </c>
      <c r="AK9">
        <f>SUM(Manual[[#This Row],[CCH_bend_2-1-7]:[CCH_bend_12-6-5]])</f>
        <v>33.44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f>SUM(Manual[[#This Row],[ring_torsion_6-1-2-3]:[ring_torsion_5-6-1-2]])</f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f>SUM(Manual[[#This Row],[CH_wag_oop_6-1-2-7]:[CH_wag_oop_5-6-1-12]])</f>
        <v>0</v>
      </c>
      <c r="AZ9">
        <f>Manual[[#This Row],[ν_CC]]+Manual[[#This Row],[ν_CH]]+Manual[[#This Row],[δ_CCC]]+Manual[[#This Row],[δ_HCC]]+Manual[[#This Row],[τ_CCCC]]+Manual[[#This Row],[τ_HCCC]]</f>
        <v>100</v>
      </c>
    </row>
    <row r="10" spans="1:52" x14ac:dyDescent="0.3">
      <c r="A10">
        <v>9</v>
      </c>
      <c r="B10">
        <v>1532.8465000000001</v>
      </c>
      <c r="C10" t="s">
        <v>86</v>
      </c>
      <c r="D10">
        <v>3.08</v>
      </c>
      <c r="E10">
        <v>0.01</v>
      </c>
      <c r="F10">
        <v>3.38</v>
      </c>
      <c r="G10">
        <v>3.08</v>
      </c>
      <c r="H10">
        <v>0.01</v>
      </c>
      <c r="I10">
        <v>3.38</v>
      </c>
      <c r="J10">
        <f>SUM(Manual[[#This Row],[CC_stretch_1-2]:[CC_stretch_6-1]])</f>
        <v>12.940000000000001</v>
      </c>
      <c r="K10">
        <v>0.09</v>
      </c>
      <c r="L10">
        <v>0.02</v>
      </c>
      <c r="M10">
        <v>0.03</v>
      </c>
      <c r="N10">
        <v>0.09</v>
      </c>
      <c r="O10">
        <v>0.02</v>
      </c>
      <c r="P10">
        <v>0.03</v>
      </c>
      <c r="Q10">
        <f>SUM(Manual[[#This Row],[CH_stretch_1-7]:[CH_stretch_6-12]])</f>
        <v>0.28000000000000003</v>
      </c>
      <c r="R10">
        <v>2.17</v>
      </c>
      <c r="S10">
        <v>0.47</v>
      </c>
      <c r="T10">
        <v>0.62</v>
      </c>
      <c r="U10">
        <v>2.17</v>
      </c>
      <c r="V10">
        <v>0.47</v>
      </c>
      <c r="W10">
        <v>0.62</v>
      </c>
      <c r="X10">
        <f>SUM(Manual[[#This Row],[CCC_bend_6-1-2]:[CCC_bend_5-6-1]])</f>
        <v>6.52</v>
      </c>
      <c r="Y10">
        <v>0.86</v>
      </c>
      <c r="Z10">
        <v>0.26</v>
      </c>
      <c r="AA10">
        <v>13.27</v>
      </c>
      <c r="AB10">
        <v>7.07</v>
      </c>
      <c r="AC10">
        <v>5.93</v>
      </c>
      <c r="AD10">
        <v>12.73</v>
      </c>
      <c r="AE10">
        <v>0.86</v>
      </c>
      <c r="AF10">
        <v>0.26</v>
      </c>
      <c r="AG10">
        <v>13.27</v>
      </c>
      <c r="AH10">
        <v>7.07</v>
      </c>
      <c r="AI10">
        <v>5.93</v>
      </c>
      <c r="AJ10">
        <v>12.73</v>
      </c>
      <c r="AK10">
        <f>SUM(Manual[[#This Row],[CCH_bend_2-1-7]:[CCH_bend_12-6-5]])</f>
        <v>80.240000000000009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f>SUM(Manual[[#This Row],[ring_torsion_6-1-2-3]:[ring_torsion_5-6-1-2]])</f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f>SUM(Manual[[#This Row],[CH_wag_oop_6-1-2-7]:[CH_wag_oop_5-6-1-12]])</f>
        <v>0</v>
      </c>
      <c r="AZ10">
        <f>Manual[[#This Row],[ν_CC]]+Manual[[#This Row],[ν_CH]]+Manual[[#This Row],[δ_CCC]]+Manual[[#This Row],[δ_HCC]]+Manual[[#This Row],[τ_CCCC]]+Manual[[#This Row],[τ_HCCC]]</f>
        <v>99.980000000000018</v>
      </c>
    </row>
    <row r="11" spans="1:52" x14ac:dyDescent="0.3">
      <c r="A11">
        <v>10</v>
      </c>
      <c r="B11">
        <v>1532.8465000000001</v>
      </c>
      <c r="C11" t="s">
        <v>86</v>
      </c>
      <c r="D11">
        <v>1.23</v>
      </c>
      <c r="E11">
        <v>4.3</v>
      </c>
      <c r="F11">
        <v>0.93</v>
      </c>
      <c r="G11">
        <v>1.23</v>
      </c>
      <c r="H11">
        <v>4.3</v>
      </c>
      <c r="I11">
        <v>0.93</v>
      </c>
      <c r="J11">
        <f>SUM(Manual[[#This Row],[CC_stretch_1-2]:[CC_stretch_6-1]])</f>
        <v>12.919999999999998</v>
      </c>
      <c r="K11">
        <v>0</v>
      </c>
      <c r="L11">
        <v>7.0000000000000007E-2</v>
      </c>
      <c r="M11">
        <v>7.0000000000000007E-2</v>
      </c>
      <c r="N11">
        <v>0</v>
      </c>
      <c r="O11">
        <v>7.0000000000000007E-2</v>
      </c>
      <c r="P11">
        <v>7.0000000000000007E-2</v>
      </c>
      <c r="Q11">
        <f>SUM(Manual[[#This Row],[CH_stretch_1-7]:[CH_stretch_6-12]])</f>
        <v>0.28000000000000003</v>
      </c>
      <c r="R11">
        <v>0</v>
      </c>
      <c r="S11">
        <v>1.71</v>
      </c>
      <c r="T11">
        <v>1.56</v>
      </c>
      <c r="U11">
        <v>0</v>
      </c>
      <c r="V11">
        <v>1.71</v>
      </c>
      <c r="W11">
        <v>1.56</v>
      </c>
      <c r="X11">
        <f>SUM(Manual[[#This Row],[CCC_bend_6-1-2]:[CCC_bend_5-6-1]])</f>
        <v>6.5400000000000009</v>
      </c>
      <c r="Y11">
        <v>12.51</v>
      </c>
      <c r="Z11">
        <v>13.11</v>
      </c>
      <c r="AA11">
        <v>0.1</v>
      </c>
      <c r="AB11">
        <v>6.3</v>
      </c>
      <c r="AC11">
        <v>7.45</v>
      </c>
      <c r="AD11">
        <v>0.65</v>
      </c>
      <c r="AE11">
        <v>12.51</v>
      </c>
      <c r="AF11">
        <v>13.11</v>
      </c>
      <c r="AG11">
        <v>0.1</v>
      </c>
      <c r="AH11">
        <v>6.3</v>
      </c>
      <c r="AI11">
        <v>7.45</v>
      </c>
      <c r="AJ11">
        <v>0.65</v>
      </c>
      <c r="AK11">
        <f>SUM(Manual[[#This Row],[CCH_bend_2-1-7]:[CCH_bend_12-6-5]])</f>
        <v>80.239999999999995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f>SUM(Manual[[#This Row],[ring_torsion_6-1-2-3]:[ring_torsion_5-6-1-2]])</f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f>SUM(Manual[[#This Row],[CH_wag_oop_6-1-2-7]:[CH_wag_oop_5-6-1-12]])</f>
        <v>0</v>
      </c>
      <c r="AZ11">
        <f>Manual[[#This Row],[ν_CC]]+Manual[[#This Row],[ν_CH]]+Manual[[#This Row],[δ_CCC]]+Manual[[#This Row],[δ_HCC]]+Manual[[#This Row],[τ_CCCC]]+Manual[[#This Row],[τ_HCCC]]</f>
        <v>99.97999999999999</v>
      </c>
    </row>
    <row r="12" spans="1:52" x14ac:dyDescent="0.3">
      <c r="A12">
        <v>11</v>
      </c>
      <c r="B12">
        <v>1435.4835</v>
      </c>
      <c r="C12" t="s">
        <v>86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f>SUM(Manual[[#This Row],[CC_stretch_1-2]:[CC_stretch_6-1]])</f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f>SUM(Manual[[#This Row],[CH_stretch_1-7]:[CH_stretch_6-12]])</f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f>SUM(Manual[[#This Row],[CCC_bend_6-1-2]:[CCC_bend_5-6-1]])</f>
        <v>0</v>
      </c>
      <c r="Y12">
        <v>8.33</v>
      </c>
      <c r="Z12">
        <v>8.33</v>
      </c>
      <c r="AA12">
        <v>8.33</v>
      </c>
      <c r="AB12">
        <v>8.33</v>
      </c>
      <c r="AC12">
        <v>8.33</v>
      </c>
      <c r="AD12">
        <v>8.33</v>
      </c>
      <c r="AE12">
        <v>8.33</v>
      </c>
      <c r="AF12">
        <v>8.33</v>
      </c>
      <c r="AG12">
        <v>8.33</v>
      </c>
      <c r="AH12">
        <v>8.33</v>
      </c>
      <c r="AI12">
        <v>8.33</v>
      </c>
      <c r="AJ12">
        <v>8.33</v>
      </c>
      <c r="AK12">
        <f>SUM(Manual[[#This Row],[CCH_bend_2-1-7]:[CCH_bend_12-6-5]])</f>
        <v>99.96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f>SUM(Manual[[#This Row],[ring_torsion_6-1-2-3]:[ring_torsion_5-6-1-2]])</f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f>SUM(Manual[[#This Row],[CH_wag_oop_6-1-2-7]:[CH_wag_oop_5-6-1-12]])</f>
        <v>0</v>
      </c>
      <c r="AZ12">
        <f>Manual[[#This Row],[ν_CC]]+Manual[[#This Row],[ν_CH]]+Manual[[#This Row],[δ_CCC]]+Manual[[#This Row],[δ_HCC]]+Manual[[#This Row],[τ_CCCC]]+Manual[[#This Row],[τ_HCCC]]</f>
        <v>99.96</v>
      </c>
    </row>
    <row r="13" spans="1:52" x14ac:dyDescent="0.3">
      <c r="A13">
        <v>12</v>
      </c>
      <c r="B13">
        <v>1319.2684999999999</v>
      </c>
      <c r="C13" t="s">
        <v>86</v>
      </c>
      <c r="D13">
        <v>10.75</v>
      </c>
      <c r="E13">
        <v>10.75</v>
      </c>
      <c r="F13">
        <v>10.75</v>
      </c>
      <c r="G13">
        <v>10.75</v>
      </c>
      <c r="H13">
        <v>10.75</v>
      </c>
      <c r="I13">
        <v>10.75</v>
      </c>
      <c r="J13">
        <f>SUM(Manual[[#This Row],[CC_stretch_1-2]:[CC_stretch_6-1]])</f>
        <v>64.5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f>SUM(Manual[[#This Row],[CH_stretch_1-7]:[CH_stretch_6-12]])</f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f>SUM(Manual[[#This Row],[CCC_bend_6-1-2]:[CCC_bend_5-6-1]])</f>
        <v>0</v>
      </c>
      <c r="Y13">
        <v>2.96</v>
      </c>
      <c r="Z13">
        <v>2.96</v>
      </c>
      <c r="AA13">
        <v>2.96</v>
      </c>
      <c r="AB13">
        <v>2.96</v>
      </c>
      <c r="AC13">
        <v>2.96</v>
      </c>
      <c r="AD13">
        <v>2.96</v>
      </c>
      <c r="AE13">
        <v>2.96</v>
      </c>
      <c r="AF13">
        <v>2.96</v>
      </c>
      <c r="AG13">
        <v>2.96</v>
      </c>
      <c r="AH13">
        <v>2.96</v>
      </c>
      <c r="AI13">
        <v>2.96</v>
      </c>
      <c r="AJ13">
        <v>2.96</v>
      </c>
      <c r="AK13">
        <f>SUM(Manual[[#This Row],[CCH_bend_2-1-7]:[CCH_bend_12-6-5]])</f>
        <v>35.520000000000003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f>SUM(Manual[[#This Row],[ring_torsion_6-1-2-3]:[ring_torsion_5-6-1-2]])</f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f>SUM(Manual[[#This Row],[CH_wag_oop_6-1-2-7]:[CH_wag_oop_5-6-1-12]])</f>
        <v>0</v>
      </c>
      <c r="AZ13">
        <f>Manual[[#This Row],[ν_CC]]+Manual[[#This Row],[ν_CH]]+Manual[[#This Row],[δ_CCC]]+Manual[[#This Row],[δ_HCC]]+Manual[[#This Row],[τ_CCCC]]+Manual[[#This Row],[τ_HCCC]]</f>
        <v>100.02000000000001</v>
      </c>
    </row>
    <row r="14" spans="1:52" x14ac:dyDescent="0.3">
      <c r="A14">
        <v>13</v>
      </c>
      <c r="B14">
        <v>1247.1403</v>
      </c>
      <c r="C14" t="s">
        <v>86</v>
      </c>
      <c r="D14">
        <v>5.86</v>
      </c>
      <c r="E14">
        <v>10.15</v>
      </c>
      <c r="F14">
        <v>0.57999999999999996</v>
      </c>
      <c r="G14">
        <v>5.86</v>
      </c>
      <c r="H14">
        <v>10.15</v>
      </c>
      <c r="I14">
        <v>0.57999999999999996</v>
      </c>
      <c r="J14">
        <f>SUM(Manual[[#This Row],[CC_stretch_1-2]:[CC_stretch_6-1]])</f>
        <v>33.18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f>SUM(Manual[[#This Row],[CH_stretch_1-7]:[CH_stretch_6-12]])</f>
        <v>0</v>
      </c>
      <c r="R14">
        <v>-0.23</v>
      </c>
      <c r="S14">
        <v>-0.01</v>
      </c>
      <c r="T14">
        <v>-0.13</v>
      </c>
      <c r="U14">
        <v>-0.23</v>
      </c>
      <c r="V14">
        <v>-0.01</v>
      </c>
      <c r="W14">
        <v>-0.13</v>
      </c>
      <c r="X14">
        <f>SUM(Manual[[#This Row],[CCC_bend_6-1-2]:[CCC_bend_5-6-1]])</f>
        <v>-0.74</v>
      </c>
      <c r="Y14">
        <v>0.84</v>
      </c>
      <c r="Z14">
        <v>0.92</v>
      </c>
      <c r="AA14">
        <v>10.69</v>
      </c>
      <c r="AB14">
        <v>10.75</v>
      </c>
      <c r="AC14">
        <v>5.35</v>
      </c>
      <c r="AD14">
        <v>5.22</v>
      </c>
      <c r="AE14">
        <v>0.84</v>
      </c>
      <c r="AF14">
        <v>0.92</v>
      </c>
      <c r="AG14">
        <v>10.69</v>
      </c>
      <c r="AH14">
        <v>10.75</v>
      </c>
      <c r="AI14">
        <v>5.35</v>
      </c>
      <c r="AJ14">
        <v>5.22</v>
      </c>
      <c r="AK14">
        <f>SUM(Manual[[#This Row],[CCH_bend_2-1-7]:[CCH_bend_12-6-5]])</f>
        <v>67.540000000000006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f>SUM(Manual[[#This Row],[ring_torsion_6-1-2-3]:[ring_torsion_5-6-1-2]])</f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f>SUM(Manual[[#This Row],[CH_wag_oop_6-1-2-7]:[CH_wag_oop_5-6-1-12]])</f>
        <v>0</v>
      </c>
      <c r="AZ14">
        <f>Manual[[#This Row],[ν_CC]]+Manual[[#This Row],[ν_CH]]+Manual[[#This Row],[δ_CCC]]+Manual[[#This Row],[δ_HCC]]+Manual[[#This Row],[τ_CCCC]]+Manual[[#This Row],[τ_HCCC]]</f>
        <v>99.98</v>
      </c>
    </row>
    <row r="15" spans="1:52" x14ac:dyDescent="0.3">
      <c r="A15">
        <v>14</v>
      </c>
      <c r="B15">
        <v>1247.1403</v>
      </c>
      <c r="C15" t="s">
        <v>86</v>
      </c>
      <c r="D15">
        <v>5.2</v>
      </c>
      <c r="E15">
        <v>0.91</v>
      </c>
      <c r="F15">
        <v>10.48</v>
      </c>
      <c r="G15">
        <v>5.2</v>
      </c>
      <c r="H15">
        <v>0.91</v>
      </c>
      <c r="I15">
        <v>10.48</v>
      </c>
      <c r="J15">
        <f>SUM(Manual[[#This Row],[CC_stretch_1-2]:[CC_stretch_6-1]])</f>
        <v>33.18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f>SUM(Manual[[#This Row],[CH_stretch_1-7]:[CH_stretch_6-12]])</f>
        <v>0</v>
      </c>
      <c r="R15">
        <v>-0.02</v>
      </c>
      <c r="S15">
        <v>-0.24</v>
      </c>
      <c r="T15">
        <v>-0.12</v>
      </c>
      <c r="U15">
        <v>-0.02</v>
      </c>
      <c r="V15">
        <v>-0.24</v>
      </c>
      <c r="W15">
        <v>-0.12</v>
      </c>
      <c r="X15">
        <f>SUM(Manual[[#This Row],[CCC_bend_6-1-2]:[CCC_bend_5-6-1]])</f>
        <v>-0.76</v>
      </c>
      <c r="Y15">
        <v>10.42</v>
      </c>
      <c r="Z15">
        <v>10.34</v>
      </c>
      <c r="AA15">
        <v>0.56999999999999995</v>
      </c>
      <c r="AB15">
        <v>0.51</v>
      </c>
      <c r="AC15">
        <v>5.9</v>
      </c>
      <c r="AD15">
        <v>6.04</v>
      </c>
      <c r="AE15">
        <v>10.42</v>
      </c>
      <c r="AF15">
        <v>10.34</v>
      </c>
      <c r="AG15">
        <v>0.56999999999999995</v>
      </c>
      <c r="AH15">
        <v>0.51</v>
      </c>
      <c r="AI15">
        <v>5.9</v>
      </c>
      <c r="AJ15">
        <v>6.04</v>
      </c>
      <c r="AK15">
        <f>SUM(Manual[[#This Row],[CCH_bend_2-1-7]:[CCH_bend_12-6-5]])</f>
        <v>67.56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f>SUM(Manual[[#This Row],[ring_torsion_6-1-2-3]:[ring_torsion_5-6-1-2]])</f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f>SUM(Manual[[#This Row],[CH_wag_oop_6-1-2-7]:[CH_wag_oop_5-6-1-12]])</f>
        <v>0</v>
      </c>
      <c r="AZ15">
        <f>Manual[[#This Row],[ν_CC]]+Manual[[#This Row],[ν_CH]]+Manual[[#This Row],[δ_CCC]]+Manual[[#This Row],[δ_HCC]]+Manual[[#This Row],[τ_CCCC]]+Manual[[#This Row],[τ_HCCC]]</f>
        <v>99.98</v>
      </c>
    </row>
    <row r="16" spans="1:52" x14ac:dyDescent="0.3">
      <c r="A16">
        <v>15</v>
      </c>
      <c r="B16">
        <v>1237.2932000000001</v>
      </c>
      <c r="C16" t="s">
        <v>86</v>
      </c>
      <c r="D16">
        <v>5.93</v>
      </c>
      <c r="E16">
        <v>5.93</v>
      </c>
      <c r="F16">
        <v>5.93</v>
      </c>
      <c r="G16">
        <v>5.93</v>
      </c>
      <c r="H16">
        <v>5.93</v>
      </c>
      <c r="I16">
        <v>5.93</v>
      </c>
      <c r="J16">
        <f>SUM(Manual[[#This Row],[CC_stretch_1-2]:[CC_stretch_6-1]])</f>
        <v>35.58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f>SUM(Manual[[#This Row],[CH_stretch_1-7]:[CH_stretch_6-12]])</f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f>SUM(Manual[[#This Row],[CCC_bend_6-1-2]:[CCC_bend_5-6-1]])</f>
        <v>0</v>
      </c>
      <c r="Y16">
        <v>5.37</v>
      </c>
      <c r="Z16">
        <v>5.37</v>
      </c>
      <c r="AA16">
        <v>5.37</v>
      </c>
      <c r="AB16">
        <v>5.37</v>
      </c>
      <c r="AC16">
        <v>5.37</v>
      </c>
      <c r="AD16">
        <v>5.37</v>
      </c>
      <c r="AE16">
        <v>5.37</v>
      </c>
      <c r="AF16">
        <v>5.37</v>
      </c>
      <c r="AG16">
        <v>5.37</v>
      </c>
      <c r="AH16">
        <v>5.37</v>
      </c>
      <c r="AI16">
        <v>5.37</v>
      </c>
      <c r="AJ16">
        <v>5.37</v>
      </c>
      <c r="AK16">
        <f>SUM(Manual[[#This Row],[CCH_bend_2-1-7]:[CCH_bend_12-6-5]])</f>
        <v>64.439999999999984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f>SUM(Manual[[#This Row],[ring_torsion_6-1-2-3]:[ring_torsion_5-6-1-2]])</f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f>SUM(Manual[[#This Row],[CH_wag_oop_6-1-2-7]:[CH_wag_oop_5-6-1-12]])</f>
        <v>0</v>
      </c>
      <c r="AZ16">
        <f>Manual[[#This Row],[ν_CC]]+Manual[[#This Row],[ν_CH]]+Manual[[#This Row],[δ_CCC]]+Manual[[#This Row],[δ_HCC]]+Manual[[#This Row],[τ_CCCC]]+Manual[[#This Row],[τ_HCCC]]</f>
        <v>100.01999999999998</v>
      </c>
    </row>
    <row r="17" spans="1:52" x14ac:dyDescent="0.3">
      <c r="A17">
        <v>16</v>
      </c>
      <c r="B17">
        <v>1067.4649999999999</v>
      </c>
      <c r="C17" t="s">
        <v>86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f>SUM(Manual[[#This Row],[CC_stretch_1-2]:[CC_stretch_6-1]])</f>
        <v>0</v>
      </c>
      <c r="K17">
        <v>0.01</v>
      </c>
      <c r="L17">
        <v>0.01</v>
      </c>
      <c r="M17">
        <v>0.01</v>
      </c>
      <c r="N17">
        <v>0.01</v>
      </c>
      <c r="O17">
        <v>0.01</v>
      </c>
      <c r="P17">
        <v>0.01</v>
      </c>
      <c r="Q17">
        <f>SUM(Manual[[#This Row],[CH_stretch_1-7]:[CH_stretch_6-12]])</f>
        <v>6.0000000000000005E-2</v>
      </c>
      <c r="R17">
        <v>11.1</v>
      </c>
      <c r="S17">
        <v>11.1</v>
      </c>
      <c r="T17">
        <v>11.1</v>
      </c>
      <c r="U17">
        <v>11.1</v>
      </c>
      <c r="V17">
        <v>11.1</v>
      </c>
      <c r="W17">
        <v>11.1</v>
      </c>
      <c r="X17">
        <f>SUM(Manual[[#This Row],[CCC_bend_6-1-2]:[CCC_bend_5-6-1]])</f>
        <v>66.599999999999994</v>
      </c>
      <c r="Y17">
        <v>2.78</v>
      </c>
      <c r="Z17">
        <v>2.78</v>
      </c>
      <c r="AA17">
        <v>2.78</v>
      </c>
      <c r="AB17">
        <v>2.78</v>
      </c>
      <c r="AC17">
        <v>2.78</v>
      </c>
      <c r="AD17">
        <v>2.78</v>
      </c>
      <c r="AE17">
        <v>2.78</v>
      </c>
      <c r="AF17">
        <v>2.78</v>
      </c>
      <c r="AG17">
        <v>2.78</v>
      </c>
      <c r="AH17">
        <v>2.78</v>
      </c>
      <c r="AI17">
        <v>2.78</v>
      </c>
      <c r="AJ17">
        <v>2.78</v>
      </c>
      <c r="AK17">
        <f>SUM(Manual[[#This Row],[CCH_bend_2-1-7]:[CCH_bend_12-6-5]])</f>
        <v>33.360000000000007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f>SUM(Manual[[#This Row],[ring_torsion_6-1-2-3]:[ring_torsion_5-6-1-2]])</f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f>SUM(Manual[[#This Row],[CH_wag_oop_6-1-2-7]:[CH_wag_oop_5-6-1-12]])</f>
        <v>0</v>
      </c>
      <c r="AZ17">
        <f>Manual[[#This Row],[ν_CC]]+Manual[[#This Row],[ν_CH]]+Manual[[#This Row],[δ_CCC]]+Manual[[#This Row],[δ_HCC]]+Manual[[#This Row],[τ_CCCC]]+Manual[[#This Row],[τ_HCCC]]</f>
        <v>100.02000000000001</v>
      </c>
    </row>
    <row r="18" spans="1:52" x14ac:dyDescent="0.3">
      <c r="A18">
        <v>17</v>
      </c>
      <c r="B18">
        <v>1056.3901000000001</v>
      </c>
      <c r="C18" t="s">
        <v>86</v>
      </c>
      <c r="D18">
        <v>10.42</v>
      </c>
      <c r="E18">
        <v>0.02</v>
      </c>
      <c r="F18">
        <v>11.43</v>
      </c>
      <c r="G18">
        <v>10.42</v>
      </c>
      <c r="H18">
        <v>0.02</v>
      </c>
      <c r="I18">
        <v>11.43</v>
      </c>
      <c r="J18">
        <f>SUM(Manual[[#This Row],[CC_stretch_1-2]:[CC_stretch_6-1]])</f>
        <v>43.74</v>
      </c>
      <c r="K18">
        <v>7.0000000000000007E-2</v>
      </c>
      <c r="L18">
        <v>0.02</v>
      </c>
      <c r="M18">
        <v>0.02</v>
      </c>
      <c r="N18">
        <v>7.0000000000000007E-2</v>
      </c>
      <c r="O18">
        <v>0.02</v>
      </c>
      <c r="P18">
        <v>0.02</v>
      </c>
      <c r="Q18">
        <f>SUM(Manual[[#This Row],[CH_stretch_1-7]:[CH_stretch_6-12]])</f>
        <v>0.22</v>
      </c>
      <c r="R18">
        <v>7.35</v>
      </c>
      <c r="S18">
        <v>1.59</v>
      </c>
      <c r="T18">
        <v>2.1</v>
      </c>
      <c r="U18">
        <v>7.35</v>
      </c>
      <c r="V18">
        <v>1.59</v>
      </c>
      <c r="W18">
        <v>2.1</v>
      </c>
      <c r="X18">
        <f>SUM(Manual[[#This Row],[CCC_bend_6-1-2]:[CCC_bend_5-6-1]])</f>
        <v>22.080000000000002</v>
      </c>
      <c r="Y18">
        <v>1.54</v>
      </c>
      <c r="Z18">
        <v>2.15</v>
      </c>
      <c r="AA18">
        <v>0.28000000000000003</v>
      </c>
      <c r="AB18">
        <v>6.5</v>
      </c>
      <c r="AC18">
        <v>6.67</v>
      </c>
      <c r="AD18">
        <v>-0.16</v>
      </c>
      <c r="AE18">
        <v>1.54</v>
      </c>
      <c r="AF18">
        <v>2.15</v>
      </c>
      <c r="AG18">
        <v>0.28000000000000003</v>
      </c>
      <c r="AH18">
        <v>6.5</v>
      </c>
      <c r="AI18">
        <v>6.67</v>
      </c>
      <c r="AJ18">
        <v>-0.16</v>
      </c>
      <c r="AK18">
        <f>SUM(Manual[[#This Row],[CCH_bend_2-1-7]:[CCH_bend_12-6-5]])</f>
        <v>33.96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f>SUM(Manual[[#This Row],[ring_torsion_6-1-2-3]:[ring_torsion_5-6-1-2]])</f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f>SUM(Manual[[#This Row],[CH_wag_oop_6-1-2-7]:[CH_wag_oop_5-6-1-12]])</f>
        <v>0</v>
      </c>
      <c r="AZ18">
        <f>Manual[[#This Row],[ν_CC]]+Manual[[#This Row],[ν_CH]]+Manual[[#This Row],[δ_CCC]]+Manual[[#This Row],[δ_HCC]]+Manual[[#This Row],[τ_CCCC]]+Manual[[#This Row],[τ_HCCC]]</f>
        <v>100</v>
      </c>
    </row>
    <row r="19" spans="1:52" x14ac:dyDescent="0.3">
      <c r="A19">
        <v>18</v>
      </c>
      <c r="B19">
        <v>1056.3901000000001</v>
      </c>
      <c r="C19" t="s">
        <v>86</v>
      </c>
      <c r="D19">
        <v>4.16</v>
      </c>
      <c r="E19">
        <v>14.56</v>
      </c>
      <c r="F19">
        <v>3.15</v>
      </c>
      <c r="G19">
        <v>4.16</v>
      </c>
      <c r="H19">
        <v>14.56</v>
      </c>
      <c r="I19">
        <v>3.15</v>
      </c>
      <c r="J19">
        <f>SUM(Manual[[#This Row],[CC_stretch_1-2]:[CC_stretch_6-1]])</f>
        <v>43.739999999999995</v>
      </c>
      <c r="K19">
        <v>0</v>
      </c>
      <c r="L19">
        <v>0.06</v>
      </c>
      <c r="M19">
        <v>0.05</v>
      </c>
      <c r="N19">
        <v>0</v>
      </c>
      <c r="O19">
        <v>0.06</v>
      </c>
      <c r="P19">
        <v>0.05</v>
      </c>
      <c r="Q19">
        <f>SUM(Manual[[#This Row],[CH_stretch_1-7]:[CH_stretch_6-12]])</f>
        <v>0.21999999999999997</v>
      </c>
      <c r="R19">
        <v>0.01</v>
      </c>
      <c r="S19">
        <v>5.77</v>
      </c>
      <c r="T19">
        <v>5.26</v>
      </c>
      <c r="U19">
        <v>0.01</v>
      </c>
      <c r="V19">
        <v>5.77</v>
      </c>
      <c r="W19">
        <v>5.26</v>
      </c>
      <c r="X19">
        <f>SUM(Manual[[#This Row],[CCC_bend_6-1-2]:[CCC_bend_5-6-1]])</f>
        <v>22.08</v>
      </c>
      <c r="Y19">
        <v>4.12</v>
      </c>
      <c r="Z19">
        <v>3.51</v>
      </c>
      <c r="AA19">
        <v>5.38</v>
      </c>
      <c r="AB19">
        <v>-0.84</v>
      </c>
      <c r="AC19">
        <v>-1.01</v>
      </c>
      <c r="AD19">
        <v>5.82</v>
      </c>
      <c r="AE19">
        <v>4.12</v>
      </c>
      <c r="AF19">
        <v>3.51</v>
      </c>
      <c r="AG19">
        <v>5.38</v>
      </c>
      <c r="AH19">
        <v>-0.84</v>
      </c>
      <c r="AI19">
        <v>-1.01</v>
      </c>
      <c r="AJ19">
        <v>5.82</v>
      </c>
      <c r="AK19">
        <f>SUM(Manual[[#This Row],[CCH_bend_2-1-7]:[CCH_bend_12-6-5]])</f>
        <v>33.959999999999994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f>SUM(Manual[[#This Row],[ring_torsion_6-1-2-3]:[ring_torsion_5-6-1-2]])</f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f>SUM(Manual[[#This Row],[CH_wag_oop_6-1-2-7]:[CH_wag_oop_5-6-1-12]])</f>
        <v>0</v>
      </c>
      <c r="AZ19">
        <f>Manual[[#This Row],[ν_CC]]+Manual[[#This Row],[ν_CH]]+Manual[[#This Row],[δ_CCC]]+Manual[[#This Row],[δ_HCC]]+Manual[[#This Row],[τ_CCCC]]+Manual[[#This Row],[τ_HCCC]]</f>
        <v>99.999999999999986</v>
      </c>
    </row>
    <row r="20" spans="1:52" x14ac:dyDescent="0.3">
      <c r="A20">
        <v>19</v>
      </c>
      <c r="B20">
        <v>992.58299999999997</v>
      </c>
      <c r="C20" t="s">
        <v>86</v>
      </c>
      <c r="D20">
        <v>16.54</v>
      </c>
      <c r="E20">
        <v>16.54</v>
      </c>
      <c r="F20">
        <v>16.54</v>
      </c>
      <c r="G20">
        <v>16.54</v>
      </c>
      <c r="H20">
        <v>16.54</v>
      </c>
      <c r="I20">
        <v>16.54</v>
      </c>
      <c r="J20">
        <f>SUM(Manual[[#This Row],[CC_stretch_1-2]:[CC_stretch_6-1]])</f>
        <v>99.239999999999981</v>
      </c>
      <c r="K20">
        <v>0.13</v>
      </c>
      <c r="L20">
        <v>0.13</v>
      </c>
      <c r="M20">
        <v>0.13</v>
      </c>
      <c r="N20">
        <v>0.13</v>
      </c>
      <c r="O20">
        <v>0.13</v>
      </c>
      <c r="P20">
        <v>0.13</v>
      </c>
      <c r="Q20">
        <f>SUM(Manual[[#This Row],[CH_stretch_1-7]:[CH_stretch_6-12]])</f>
        <v>0.78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f>SUM(Manual[[#This Row],[CCC_bend_6-1-2]:[CCC_bend_5-6-1]])</f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f>SUM(Manual[[#This Row],[CCH_bend_2-1-7]:[CCH_bend_12-6-5]])</f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f>SUM(Manual[[#This Row],[ring_torsion_6-1-2-3]:[ring_torsion_5-6-1-2]])</f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f>SUM(Manual[[#This Row],[CH_wag_oop_6-1-2-7]:[CH_wag_oop_5-6-1-12]])</f>
        <v>0</v>
      </c>
      <c r="AZ20">
        <f>Manual[[#This Row],[ν_CC]]+Manual[[#This Row],[ν_CH]]+Manual[[#This Row],[δ_CCC]]+Manual[[#This Row],[δ_HCC]]+Manual[[#This Row],[τ_CCCC]]+Manual[[#This Row],[τ_HCCC]]</f>
        <v>100.01999999999998</v>
      </c>
    </row>
    <row r="21" spans="1:52" x14ac:dyDescent="0.3">
      <c r="A21">
        <v>20</v>
      </c>
      <c r="B21">
        <v>933.5249</v>
      </c>
      <c r="C21" t="s">
        <v>86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f>SUM(Manual[[#This Row],[CC_stretch_1-2]:[CC_stretch_6-1]])</f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f>SUM(Manual[[#This Row],[CH_stretch_1-7]:[CH_stretch_6-12]])</f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f>SUM(Manual[[#This Row],[CCC_bend_6-1-2]:[CCC_bend_5-6-1]])</f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f>SUM(Manual[[#This Row],[CCH_bend_2-1-7]:[CCH_bend_12-6-5]])</f>
        <v>0</v>
      </c>
      <c r="AL21">
        <v>-3.57</v>
      </c>
      <c r="AM21">
        <v>-3.57</v>
      </c>
      <c r="AN21">
        <v>-3.57</v>
      </c>
      <c r="AO21">
        <v>-3.57</v>
      </c>
      <c r="AP21">
        <v>-3.57</v>
      </c>
      <c r="AQ21">
        <v>-3.57</v>
      </c>
      <c r="AR21">
        <f>SUM(Manual[[#This Row],[ring_torsion_6-1-2-3]:[ring_torsion_5-6-1-2]])</f>
        <v>-21.419999999999998</v>
      </c>
      <c r="AS21">
        <v>20.239999999999998</v>
      </c>
      <c r="AT21">
        <v>20.239999999999998</v>
      </c>
      <c r="AU21">
        <v>20.239999999999998</v>
      </c>
      <c r="AV21">
        <v>20.239999999999998</v>
      </c>
      <c r="AW21">
        <v>20.239999999999998</v>
      </c>
      <c r="AX21">
        <v>20.239999999999998</v>
      </c>
      <c r="AY21">
        <f>SUM(Manual[[#This Row],[CH_wag_oop_6-1-2-7]:[CH_wag_oop_5-6-1-12]])</f>
        <v>121.43999999999998</v>
      </c>
      <c r="AZ21">
        <f>Manual[[#This Row],[ν_CC]]+Manual[[#This Row],[ν_CH]]+Manual[[#This Row],[δ_CCC]]+Manual[[#This Row],[δ_HCC]]+Manual[[#This Row],[τ_CCCC]]+Manual[[#This Row],[τ_HCCC]]</f>
        <v>100.01999999999998</v>
      </c>
    </row>
    <row r="22" spans="1:52" x14ac:dyDescent="0.3">
      <c r="A22">
        <v>21</v>
      </c>
      <c r="B22">
        <v>931.24170000000004</v>
      </c>
      <c r="C22" t="s">
        <v>86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f>SUM(Manual[[#This Row],[CC_stretch_1-2]:[CC_stretch_6-1]])</f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f>SUM(Manual[[#This Row],[CH_stretch_1-7]:[CH_stretch_6-12]])</f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f>SUM(Manual[[#This Row],[CCC_bend_6-1-2]:[CCC_bend_5-6-1]])</f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f>SUM(Manual[[#This Row],[CCH_bend_2-1-7]:[CCH_bend_12-6-5]])</f>
        <v>0</v>
      </c>
      <c r="AL22">
        <v>-3.06</v>
      </c>
      <c r="AM22">
        <v>-4.45</v>
      </c>
      <c r="AN22">
        <v>-0.13</v>
      </c>
      <c r="AO22">
        <v>-3.06</v>
      </c>
      <c r="AP22">
        <v>-4.45</v>
      </c>
      <c r="AQ22">
        <v>-0.13</v>
      </c>
      <c r="AR22">
        <f>SUM(Manual[[#This Row],[ring_torsion_6-1-2-3]:[ring_torsion_5-6-1-2]])</f>
        <v>-15.28</v>
      </c>
      <c r="AS22">
        <v>4.84</v>
      </c>
      <c r="AT22">
        <v>37.44</v>
      </c>
      <c r="AU22">
        <v>15.36</v>
      </c>
      <c r="AV22">
        <v>4.84</v>
      </c>
      <c r="AW22">
        <v>37.44</v>
      </c>
      <c r="AX22">
        <v>15.36</v>
      </c>
      <c r="AY22">
        <f>SUM(Manual[[#This Row],[CH_wag_oop_6-1-2-7]:[CH_wag_oop_5-6-1-12]])</f>
        <v>115.28</v>
      </c>
      <c r="AZ22">
        <f>Manual[[#This Row],[ν_CC]]+Manual[[#This Row],[ν_CH]]+Manual[[#This Row],[δ_CCC]]+Manual[[#This Row],[δ_HCC]]+Manual[[#This Row],[τ_CCCC]]+Manual[[#This Row],[τ_HCCC]]</f>
        <v>100</v>
      </c>
    </row>
    <row r="23" spans="1:52" x14ac:dyDescent="0.3">
      <c r="A23">
        <v>22</v>
      </c>
      <c r="B23">
        <v>931.24170000000004</v>
      </c>
      <c r="C23" t="s">
        <v>86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f>SUM(Manual[[#This Row],[CC_stretch_1-2]:[CC_stretch_6-1]])</f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f>SUM(Manual[[#This Row],[CH_stretch_1-7]:[CH_stretch_6-12]])</f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f>SUM(Manual[[#This Row],[CCC_bend_6-1-2]:[CCC_bend_5-6-1]])</f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f>SUM(Manual[[#This Row],[CCH_bend_2-1-7]:[CCH_bend_12-6-5]])</f>
        <v>0</v>
      </c>
      <c r="AL23">
        <v>-2.04</v>
      </c>
      <c r="AM23">
        <v>-0.64</v>
      </c>
      <c r="AN23">
        <v>-4.96</v>
      </c>
      <c r="AO23">
        <v>-2.04</v>
      </c>
      <c r="AP23">
        <v>-0.64</v>
      </c>
      <c r="AQ23">
        <v>-4.96</v>
      </c>
      <c r="AR23">
        <f>SUM(Manual[[#This Row],[ring_torsion_6-1-2-3]:[ring_torsion_5-6-1-2]])</f>
        <v>-15.280000000000001</v>
      </c>
      <c r="AS23">
        <v>33.590000000000003</v>
      </c>
      <c r="AT23">
        <v>0.99</v>
      </c>
      <c r="AU23">
        <v>23.06</v>
      </c>
      <c r="AV23">
        <v>33.590000000000003</v>
      </c>
      <c r="AW23">
        <v>0.99</v>
      </c>
      <c r="AX23">
        <v>23.06</v>
      </c>
      <c r="AY23">
        <f>SUM(Manual[[#This Row],[CH_wag_oop_6-1-2-7]:[CH_wag_oop_5-6-1-12]])</f>
        <v>115.28</v>
      </c>
      <c r="AZ23">
        <f>Manual[[#This Row],[ν_CC]]+Manual[[#This Row],[ν_CH]]+Manual[[#This Row],[δ_CCC]]+Manual[[#This Row],[δ_HCC]]+Manual[[#This Row],[τ_CCCC]]+Manual[[#This Row],[τ_HCCC]]</f>
        <v>100</v>
      </c>
    </row>
    <row r="24" spans="1:52" x14ac:dyDescent="0.3">
      <c r="A24">
        <v>23</v>
      </c>
      <c r="B24">
        <v>852.23140000000001</v>
      </c>
      <c r="C24" t="s">
        <v>86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f>SUM(Manual[[#This Row],[CC_stretch_1-2]:[CC_stretch_6-1]])</f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f>SUM(Manual[[#This Row],[CH_stretch_1-7]:[CH_stretch_6-12]])</f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f>SUM(Manual[[#This Row],[CCC_bend_6-1-2]:[CCC_bend_5-6-1]])</f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f>SUM(Manual[[#This Row],[CCH_bend_2-1-7]:[CCH_bend_12-6-5]])</f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f>SUM(Manual[[#This Row],[ring_torsion_6-1-2-3]:[ring_torsion_5-6-1-2]])</f>
        <v>0</v>
      </c>
      <c r="AS24">
        <v>33.33</v>
      </c>
      <c r="AT24">
        <v>8.51</v>
      </c>
      <c r="AU24">
        <v>8.16</v>
      </c>
      <c r="AV24">
        <v>33.33</v>
      </c>
      <c r="AW24">
        <v>8.51</v>
      </c>
      <c r="AX24">
        <v>8.16</v>
      </c>
      <c r="AY24">
        <f>SUM(Manual[[#This Row],[CH_wag_oop_6-1-2-7]:[CH_wag_oop_5-6-1-12]])</f>
        <v>100</v>
      </c>
      <c r="AZ24">
        <f>Manual[[#This Row],[ν_CC]]+Manual[[#This Row],[ν_CH]]+Manual[[#This Row],[δ_CCC]]+Manual[[#This Row],[δ_HCC]]+Manual[[#This Row],[τ_CCCC]]+Manual[[#This Row],[τ_HCCC]]</f>
        <v>100</v>
      </c>
    </row>
    <row r="25" spans="1:52" x14ac:dyDescent="0.3">
      <c r="A25">
        <v>24</v>
      </c>
      <c r="B25">
        <v>852.23140000000001</v>
      </c>
      <c r="C25" t="s">
        <v>86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f>SUM(Manual[[#This Row],[CC_stretch_1-2]:[CC_stretch_6-1]])</f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f>SUM(Manual[[#This Row],[CH_stretch_1-7]:[CH_stretch_6-12]])</f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f>SUM(Manual[[#This Row],[CCC_bend_6-1-2]:[CCC_bend_5-6-1]])</f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f>SUM(Manual[[#This Row],[CCH_bend_2-1-7]:[CCH_bend_12-6-5]])</f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f>SUM(Manual[[#This Row],[ring_torsion_6-1-2-3]:[ring_torsion_5-6-1-2]])</f>
        <v>0</v>
      </c>
      <c r="AS25">
        <v>0</v>
      </c>
      <c r="AT25">
        <v>24.82</v>
      </c>
      <c r="AU25">
        <v>25.18</v>
      </c>
      <c r="AV25">
        <v>0</v>
      </c>
      <c r="AW25">
        <v>24.82</v>
      </c>
      <c r="AX25">
        <v>25.18</v>
      </c>
      <c r="AY25">
        <f>SUM(Manual[[#This Row],[CH_wag_oop_6-1-2-7]:[CH_wag_oop_5-6-1-12]])</f>
        <v>100</v>
      </c>
      <c r="AZ25">
        <f>Manual[[#This Row],[ν_CC]]+Manual[[#This Row],[ν_CH]]+Manual[[#This Row],[δ_CCC]]+Manual[[#This Row],[δ_HCC]]+Manual[[#This Row],[τ_CCCC]]+Manual[[#This Row],[τ_HCCC]]</f>
        <v>100</v>
      </c>
    </row>
    <row r="26" spans="1:52" x14ac:dyDescent="0.3">
      <c r="A26">
        <v>25</v>
      </c>
      <c r="B26">
        <v>684.1694</v>
      </c>
      <c r="C26" t="s">
        <v>86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f>SUM(Manual[[#This Row],[CC_stretch_1-2]:[CC_stretch_6-1]])</f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f>SUM(Manual[[#This Row],[CH_stretch_1-7]:[CH_stretch_6-12]])</f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f>SUM(Manual[[#This Row],[CCC_bend_6-1-2]:[CCC_bend_5-6-1]])</f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f>SUM(Manual[[#This Row],[CCH_bend_2-1-7]:[CCH_bend_12-6-5]])</f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f>SUM(Manual[[#This Row],[ring_torsion_6-1-2-3]:[ring_torsion_5-6-1-2]])</f>
        <v>0</v>
      </c>
      <c r="AS26">
        <v>16.670000000000002</v>
      </c>
      <c r="AT26">
        <v>16.670000000000002</v>
      </c>
      <c r="AU26">
        <v>16.670000000000002</v>
      </c>
      <c r="AV26">
        <v>16.670000000000002</v>
      </c>
      <c r="AW26">
        <v>16.670000000000002</v>
      </c>
      <c r="AX26">
        <v>16.670000000000002</v>
      </c>
      <c r="AY26">
        <f>SUM(Manual[[#This Row],[CH_wag_oop_6-1-2-7]:[CH_wag_oop_5-6-1-12]])</f>
        <v>100.02000000000001</v>
      </c>
      <c r="AZ26">
        <f>Manual[[#This Row],[ν_CC]]+Manual[[#This Row],[ν_CH]]+Manual[[#This Row],[δ_CCC]]+Manual[[#This Row],[δ_HCC]]+Manual[[#This Row],[τ_CCCC]]+Manual[[#This Row],[τ_HCCC]]</f>
        <v>100.02000000000001</v>
      </c>
    </row>
    <row r="27" spans="1:52" x14ac:dyDescent="0.3">
      <c r="A27">
        <v>26</v>
      </c>
      <c r="B27">
        <v>678.16520000000003</v>
      </c>
      <c r="C27" t="s">
        <v>86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f>SUM(Manual[[#This Row],[CC_stretch_1-2]:[CC_stretch_6-1]])</f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f>SUM(Manual[[#This Row],[CH_stretch_1-7]:[CH_stretch_6-12]])</f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f>SUM(Manual[[#This Row],[CCC_bend_6-1-2]:[CCC_bend_5-6-1]])</f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f>SUM(Manual[[#This Row],[CCH_bend_2-1-7]:[CCH_bend_12-6-5]])</f>
        <v>0</v>
      </c>
      <c r="AL27">
        <v>20.23</v>
      </c>
      <c r="AM27">
        <v>20.23</v>
      </c>
      <c r="AN27">
        <v>20.23</v>
      </c>
      <c r="AO27">
        <v>20.23</v>
      </c>
      <c r="AP27">
        <v>20.23</v>
      </c>
      <c r="AQ27">
        <v>20.23</v>
      </c>
      <c r="AR27">
        <f>SUM(Manual[[#This Row],[ring_torsion_6-1-2-3]:[ring_torsion_5-6-1-2]])</f>
        <v>121.38000000000001</v>
      </c>
      <c r="AS27">
        <v>-3.56</v>
      </c>
      <c r="AT27">
        <v>-3.56</v>
      </c>
      <c r="AU27">
        <v>-3.56</v>
      </c>
      <c r="AV27">
        <v>-3.56</v>
      </c>
      <c r="AW27">
        <v>-3.56</v>
      </c>
      <c r="AX27">
        <v>-3.56</v>
      </c>
      <c r="AY27">
        <f>SUM(Manual[[#This Row],[CH_wag_oop_6-1-2-7]:[CH_wag_oop_5-6-1-12]])</f>
        <v>-21.36</v>
      </c>
      <c r="AZ27">
        <f>Manual[[#This Row],[ν_CC]]+Manual[[#This Row],[ν_CH]]+Manual[[#This Row],[δ_CCC]]+Manual[[#This Row],[δ_HCC]]+Manual[[#This Row],[τ_CCCC]]+Manual[[#This Row],[τ_HCCC]]</f>
        <v>100.02000000000001</v>
      </c>
    </row>
    <row r="28" spans="1:52" x14ac:dyDescent="0.3">
      <c r="A28">
        <v>27</v>
      </c>
      <c r="B28">
        <v>645.89260000000002</v>
      </c>
      <c r="C28" t="s">
        <v>86</v>
      </c>
      <c r="D28">
        <v>0.05</v>
      </c>
      <c r="E28">
        <v>1.46</v>
      </c>
      <c r="F28">
        <v>2.04</v>
      </c>
      <c r="G28">
        <v>0.05</v>
      </c>
      <c r="H28">
        <v>1.46</v>
      </c>
      <c r="I28">
        <v>2.04</v>
      </c>
      <c r="J28">
        <f>SUM(Manual[[#This Row],[CC_stretch_1-2]:[CC_stretch_6-1]])</f>
        <v>7.1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f>SUM(Manual[[#This Row],[CH_stretch_1-7]:[CH_stretch_6-12]])</f>
        <v>0</v>
      </c>
      <c r="R28">
        <v>12.47</v>
      </c>
      <c r="S28">
        <v>17.45</v>
      </c>
      <c r="T28">
        <v>0.42</v>
      </c>
      <c r="U28">
        <v>12.47</v>
      </c>
      <c r="V28">
        <v>17.45</v>
      </c>
      <c r="W28">
        <v>0.42</v>
      </c>
      <c r="X28">
        <f>SUM(Manual[[#This Row],[CCC_bend_6-1-2]:[CCC_bend_5-6-1]])</f>
        <v>60.680000000000007</v>
      </c>
      <c r="Y28">
        <v>1.49</v>
      </c>
      <c r="Z28">
        <v>4.99</v>
      </c>
      <c r="AA28">
        <v>5.65</v>
      </c>
      <c r="AB28">
        <v>3.16</v>
      </c>
      <c r="AC28">
        <v>0.93</v>
      </c>
      <c r="AD28">
        <v>-0.1</v>
      </c>
      <c r="AE28">
        <v>1.49</v>
      </c>
      <c r="AF28">
        <v>4.99</v>
      </c>
      <c r="AG28">
        <v>5.65</v>
      </c>
      <c r="AH28">
        <v>3.16</v>
      </c>
      <c r="AI28">
        <v>0.93</v>
      </c>
      <c r="AJ28">
        <v>-0.1</v>
      </c>
      <c r="AK28">
        <f>SUM(Manual[[#This Row],[CCH_bend_2-1-7]:[CCH_bend_12-6-5]])</f>
        <v>32.24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f>SUM(Manual[[#This Row],[ring_torsion_6-1-2-3]:[ring_torsion_5-6-1-2]])</f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f>SUM(Manual[[#This Row],[CH_wag_oop_6-1-2-7]:[CH_wag_oop_5-6-1-12]])</f>
        <v>0</v>
      </c>
      <c r="AZ28">
        <f>Manual[[#This Row],[ν_CC]]+Manual[[#This Row],[ν_CH]]+Manual[[#This Row],[δ_CCC]]+Manual[[#This Row],[δ_HCC]]+Manual[[#This Row],[τ_CCCC]]+Manual[[#This Row],[τ_HCCC]]</f>
        <v>100.02000000000001</v>
      </c>
    </row>
    <row r="29" spans="1:52" x14ac:dyDescent="0.3">
      <c r="A29">
        <v>28</v>
      </c>
      <c r="B29">
        <v>645.89260000000002</v>
      </c>
      <c r="C29" t="s">
        <v>86</v>
      </c>
      <c r="D29">
        <v>2.3199999999999998</v>
      </c>
      <c r="E29">
        <v>0.91</v>
      </c>
      <c r="F29">
        <v>0.33</v>
      </c>
      <c r="G29">
        <v>2.3199999999999998</v>
      </c>
      <c r="H29">
        <v>0.91</v>
      </c>
      <c r="I29">
        <v>0.33</v>
      </c>
      <c r="J29">
        <f>SUM(Manual[[#This Row],[CC_stretch_1-2]:[CC_stretch_6-1]])</f>
        <v>7.12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f>SUM(Manual[[#This Row],[CH_stretch_1-7]:[CH_stretch_6-12]])</f>
        <v>0</v>
      </c>
      <c r="R29">
        <v>7.75</v>
      </c>
      <c r="S29">
        <v>2.77</v>
      </c>
      <c r="T29">
        <v>19.8</v>
      </c>
      <c r="U29">
        <v>7.75</v>
      </c>
      <c r="V29">
        <v>2.77</v>
      </c>
      <c r="W29">
        <v>19.8</v>
      </c>
      <c r="X29">
        <f>SUM(Manual[[#This Row],[CCC_bend_6-1-2]:[CCC_bend_5-6-1]])</f>
        <v>60.64</v>
      </c>
      <c r="Y29">
        <v>3.89</v>
      </c>
      <c r="Z29">
        <v>0.38</v>
      </c>
      <c r="AA29">
        <v>-0.27</v>
      </c>
      <c r="AB29">
        <v>2.21</v>
      </c>
      <c r="AC29">
        <v>4.4400000000000004</v>
      </c>
      <c r="AD29">
        <v>5.47</v>
      </c>
      <c r="AE29">
        <v>3.89</v>
      </c>
      <c r="AF29">
        <v>0.38</v>
      </c>
      <c r="AG29">
        <v>-0.27</v>
      </c>
      <c r="AH29">
        <v>2.21</v>
      </c>
      <c r="AI29">
        <v>4.4400000000000004</v>
      </c>
      <c r="AJ29">
        <v>5.47</v>
      </c>
      <c r="AK29">
        <f>SUM(Manual[[#This Row],[CCH_bend_2-1-7]:[CCH_bend_12-6-5]])</f>
        <v>32.24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f>SUM(Manual[[#This Row],[ring_torsion_6-1-2-3]:[ring_torsion_5-6-1-2]])</f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f>SUM(Manual[[#This Row],[CH_wag_oop_6-1-2-7]:[CH_wag_oop_5-6-1-12]])</f>
        <v>0</v>
      </c>
      <c r="AZ29">
        <f>Manual[[#This Row],[ν_CC]]+Manual[[#This Row],[ν_CH]]+Manual[[#This Row],[δ_CCC]]+Manual[[#This Row],[δ_HCC]]+Manual[[#This Row],[τ_CCCC]]+Manual[[#This Row],[τ_HCCC]]</f>
        <v>100</v>
      </c>
    </row>
    <row r="30" spans="1:52" x14ac:dyDescent="0.3">
      <c r="A30">
        <v>29</v>
      </c>
      <c r="B30">
        <v>411.98469999999998</v>
      </c>
      <c r="C30" t="s">
        <v>86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f>SUM(Manual[[#This Row],[CC_stretch_1-2]:[CC_stretch_6-1]])</f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f>SUM(Manual[[#This Row],[CH_stretch_1-7]:[CH_stretch_6-12]])</f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f>SUM(Manual[[#This Row],[CCC_bend_6-1-2]:[CCC_bend_5-6-1]])</f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f>SUM(Manual[[#This Row],[CCH_bend_2-1-7]:[CCH_bend_12-6-5]])</f>
        <v>0</v>
      </c>
      <c r="AL30">
        <v>28.54</v>
      </c>
      <c r="AM30">
        <v>0</v>
      </c>
      <c r="AN30">
        <v>29.08</v>
      </c>
      <c r="AO30">
        <v>28.54</v>
      </c>
      <c r="AP30">
        <v>0</v>
      </c>
      <c r="AQ30">
        <v>29.08</v>
      </c>
      <c r="AR30">
        <f>SUM(Manual[[#This Row],[ring_torsion_6-1-2-3]:[ring_torsion_5-6-1-2]])</f>
        <v>115.24</v>
      </c>
      <c r="AS30">
        <v>-5.08</v>
      </c>
      <c r="AT30">
        <v>-1.24</v>
      </c>
      <c r="AU30">
        <v>-1.31</v>
      </c>
      <c r="AV30">
        <v>-5.08</v>
      </c>
      <c r="AW30">
        <v>-1.24</v>
      </c>
      <c r="AX30">
        <v>-1.31</v>
      </c>
      <c r="AY30">
        <f>SUM(Manual[[#This Row],[CH_wag_oop_6-1-2-7]:[CH_wag_oop_5-6-1-12]])</f>
        <v>-15.260000000000002</v>
      </c>
      <c r="AZ30">
        <f>Manual[[#This Row],[ν_CC]]+Manual[[#This Row],[ν_CH]]+Manual[[#This Row],[δ_CCC]]+Manual[[#This Row],[δ_HCC]]+Manual[[#This Row],[τ_CCCC]]+Manual[[#This Row],[τ_HCCC]]</f>
        <v>99.97999999999999</v>
      </c>
    </row>
    <row r="31" spans="1:52" x14ac:dyDescent="0.3">
      <c r="A31">
        <v>30</v>
      </c>
      <c r="B31">
        <v>411.98469999999998</v>
      </c>
      <c r="C31" t="s">
        <v>86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f>SUM(Manual[[#This Row],[CC_stretch_1-2]:[CC_stretch_6-1]])</f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f>SUM(Manual[[#This Row],[CH_stretch_1-7]:[CH_stretch_6-12]])</f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f>SUM(Manual[[#This Row],[CCC_bend_6-1-2]:[CCC_bend_5-6-1]])</f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f>SUM(Manual[[#This Row],[CCH_bend_2-1-7]:[CCH_bend_12-6-5]])</f>
        <v>0</v>
      </c>
      <c r="AL31">
        <v>9.8800000000000008</v>
      </c>
      <c r="AM31">
        <v>38.409999999999997</v>
      </c>
      <c r="AN31">
        <v>9.33</v>
      </c>
      <c r="AO31">
        <v>9.8800000000000008</v>
      </c>
      <c r="AP31">
        <v>38.409999999999997</v>
      </c>
      <c r="AQ31">
        <v>9.33</v>
      </c>
      <c r="AR31">
        <f>SUM(Manual[[#This Row],[ring_torsion_6-1-2-3]:[ring_torsion_5-6-1-2]])</f>
        <v>115.24</v>
      </c>
      <c r="AS31">
        <v>0</v>
      </c>
      <c r="AT31">
        <v>-3.85</v>
      </c>
      <c r="AU31">
        <v>-3.78</v>
      </c>
      <c r="AV31">
        <v>0</v>
      </c>
      <c r="AW31">
        <v>-3.85</v>
      </c>
      <c r="AX31">
        <v>-3.78</v>
      </c>
      <c r="AY31">
        <f>SUM(Manual[[#This Row],[CH_wag_oop_6-1-2-7]:[CH_wag_oop_5-6-1-12]])</f>
        <v>-15.26</v>
      </c>
      <c r="AZ31">
        <f>Manual[[#This Row],[ν_CC]]+Manual[[#This Row],[ν_CH]]+Manual[[#This Row],[δ_CCC]]+Manual[[#This Row],[δ_HCC]]+Manual[[#This Row],[τ_CCCC]]+Manual[[#This Row],[τ_HCCC]]</f>
        <v>99.97999999999999</v>
      </c>
    </row>
  </sheetData>
  <phoneticPr fontId="19" type="noConversion"/>
  <conditionalFormatting sqref="J2:J31">
    <cfRule type="colorScale" priority="6">
      <colorScale>
        <cfvo type="min"/>
        <cfvo type="max"/>
        <color rgb="FFFCFCFF"/>
        <color rgb="FF63BE7B"/>
      </colorScale>
    </cfRule>
  </conditionalFormatting>
  <conditionalFormatting sqref="Q2:Q31">
    <cfRule type="colorScale" priority="5">
      <colorScale>
        <cfvo type="min"/>
        <cfvo type="max"/>
        <color rgb="FFFCFCFF"/>
        <color rgb="FF63BE7B"/>
      </colorScale>
    </cfRule>
  </conditionalFormatting>
  <conditionalFormatting sqref="X2:X31">
    <cfRule type="colorScale" priority="4">
      <colorScale>
        <cfvo type="min"/>
        <cfvo type="max"/>
        <color rgb="FFFCFCFF"/>
        <color rgb="FF63BE7B"/>
      </colorScale>
    </cfRule>
  </conditionalFormatting>
  <conditionalFormatting sqref="AK2:AK31">
    <cfRule type="colorScale" priority="3">
      <colorScale>
        <cfvo type="min"/>
        <cfvo type="max"/>
        <color rgb="FFFCFCFF"/>
        <color rgb="FF63BE7B"/>
      </colorScale>
    </cfRule>
  </conditionalFormatting>
  <conditionalFormatting sqref="AR2:AR31">
    <cfRule type="colorScale" priority="2">
      <colorScale>
        <cfvo type="min"/>
        <cfvo type="max"/>
        <color rgb="FFFCFCFF"/>
        <color rgb="FF63BE7B"/>
      </colorScale>
    </cfRule>
  </conditionalFormatting>
  <conditionalFormatting sqref="AY2:AY3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D71F-5D99-4857-947D-6EDFA5659EE7}">
  <dimension ref="A1:AO31"/>
  <sheetViews>
    <sheetView workbookViewId="0"/>
  </sheetViews>
  <sheetFormatPr defaultRowHeight="14" x14ac:dyDescent="0.3"/>
  <cols>
    <col min="2" max="2" width="21.4140625" customWidth="1"/>
    <col min="3" max="4" width="18.9140625" customWidth="1"/>
    <col min="5" max="11" width="14.4140625" customWidth="1"/>
    <col min="12" max="14" width="14.25" customWidth="1"/>
    <col min="15" max="17" width="15.4140625" customWidth="1"/>
    <col min="18" max="18" width="17.1640625" customWidth="1"/>
    <col min="19" max="25" width="17.33203125" customWidth="1"/>
    <col min="26" max="29" width="17.1640625" customWidth="1"/>
    <col min="30" max="36" width="18.33203125" customWidth="1"/>
    <col min="37" max="40" width="18.1640625" customWidth="1"/>
  </cols>
  <sheetData>
    <row r="1" spans="1:41" ht="14.5" x14ac:dyDescent="0.35">
      <c r="A1" t="s">
        <v>0</v>
      </c>
      <c r="B1" t="s">
        <v>1</v>
      </c>
      <c r="C1" t="s">
        <v>2</v>
      </c>
      <c r="D1" t="s">
        <v>88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75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s="2" t="s">
        <v>76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s="2" t="s">
        <v>77</v>
      </c>
      <c r="Y1" t="s">
        <v>14</v>
      </c>
      <c r="Z1" t="s">
        <v>21</v>
      </c>
      <c r="AA1" t="s">
        <v>22</v>
      </c>
      <c r="AB1" t="s">
        <v>23</v>
      </c>
      <c r="AC1" s="2" t="s">
        <v>78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s="2" t="s">
        <v>79</v>
      </c>
      <c r="AK1" t="s">
        <v>30</v>
      </c>
      <c r="AL1" t="s">
        <v>31</v>
      </c>
      <c r="AM1" t="s">
        <v>32</v>
      </c>
      <c r="AN1" s="2" t="s">
        <v>80</v>
      </c>
      <c r="AO1" s="3" t="s">
        <v>81</v>
      </c>
    </row>
    <row r="2" spans="1:41" x14ac:dyDescent="0.3">
      <c r="A2">
        <v>1</v>
      </c>
      <c r="B2">
        <v>3223.1696000000002</v>
      </c>
      <c r="C2">
        <v>3223.49</v>
      </c>
      <c r="D2" t="s">
        <v>87</v>
      </c>
      <c r="E2">
        <v>0</v>
      </c>
      <c r="F2">
        <v>0</v>
      </c>
      <c r="G2">
        <v>0</v>
      </c>
      <c r="H2">
        <v>0</v>
      </c>
      <c r="I2">
        <v>99</v>
      </c>
      <c r="J2">
        <v>0</v>
      </c>
      <c r="K2">
        <f>SUM(VEDA[[#This Row],[s1_STRE_CH]:[s6_STRE_CH]])</f>
        <v>99</v>
      </c>
      <c r="L2">
        <v>0</v>
      </c>
      <c r="M2">
        <v>0</v>
      </c>
      <c r="N2">
        <v>1</v>
      </c>
      <c r="O2">
        <v>0</v>
      </c>
      <c r="P2">
        <v>0</v>
      </c>
      <c r="Q2">
        <f>SUM(VEDA[[#This Row],[s7_STRE_CC]:[s11_STRE_CC]])</f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f>SUM(VEDA[[#This Row],[s13_BEND_HCC]:[s18_BEND_HCC]])</f>
        <v>0</v>
      </c>
      <c r="Y2">
        <v>0</v>
      </c>
      <c r="Z2">
        <v>0</v>
      </c>
      <c r="AA2">
        <v>0</v>
      </c>
      <c r="AB2">
        <v>0</v>
      </c>
      <c r="AC2">
        <f>SUM(VEDA[[#This Row],[s12_BEND_CCC]:[s21_BEND_CCC]])</f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SUM(VEDA[[#This Row],[s22_TORS_HCCC]:[s27_TORS_HCCC]])</f>
        <v>0</v>
      </c>
      <c r="AK2">
        <v>0</v>
      </c>
      <c r="AL2">
        <v>0</v>
      </c>
      <c r="AM2">
        <v>0</v>
      </c>
      <c r="AN2">
        <f>SUM(VEDA[[#This Row],[s28_TORS_CCCC]:[s30_TORS_CCCC]])</f>
        <v>0</v>
      </c>
      <c r="AO2">
        <f>VEDA[[#This Row],[ν_CH]]+VEDA[[#This Row],[ν_CC]]+VEDA[[#This Row],[δ_HCC]]+VEDA[[#This Row],[δ_CCC]]+VEDA[[#This Row],[τ_HCCC]]+VEDA[[#This Row],[τ_CCCC]]</f>
        <v>100</v>
      </c>
    </row>
    <row r="3" spans="1:41" x14ac:dyDescent="0.3">
      <c r="A3">
        <v>2</v>
      </c>
      <c r="B3">
        <v>3209.6325000000002</v>
      </c>
      <c r="C3">
        <v>3210.47</v>
      </c>
      <c r="D3" t="s">
        <v>87</v>
      </c>
      <c r="E3">
        <v>0</v>
      </c>
      <c r="F3">
        <v>99</v>
      </c>
      <c r="G3">
        <v>0</v>
      </c>
      <c r="H3">
        <v>0</v>
      </c>
      <c r="I3">
        <v>0</v>
      </c>
      <c r="J3">
        <v>0</v>
      </c>
      <c r="K3">
        <f>SUM(VEDA[[#This Row],[s1_STRE_CH]:[s6_STRE_CH]])</f>
        <v>99</v>
      </c>
      <c r="L3">
        <v>0</v>
      </c>
      <c r="M3">
        <v>0</v>
      </c>
      <c r="N3">
        <v>0</v>
      </c>
      <c r="O3">
        <v>0</v>
      </c>
      <c r="P3">
        <v>0</v>
      </c>
      <c r="Q3">
        <f>SUM(VEDA[[#This Row],[s7_STRE_CC]:[s11_STRE_CC]])</f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f>SUM(VEDA[[#This Row],[s13_BEND_HCC]:[s18_BEND_HCC]])</f>
        <v>0</v>
      </c>
      <c r="Y3">
        <v>0</v>
      </c>
      <c r="Z3">
        <v>0</v>
      </c>
      <c r="AA3">
        <v>0</v>
      </c>
      <c r="AB3">
        <v>0</v>
      </c>
      <c r="AC3">
        <f>SUM(VEDA[[#This Row],[s12_BEND_CCC]:[s21_BEND_CCC]])</f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>SUM(VEDA[[#This Row],[s22_TORS_HCCC]:[s27_TORS_HCCC]])</f>
        <v>0</v>
      </c>
      <c r="AK3">
        <v>0</v>
      </c>
      <c r="AL3">
        <v>0</v>
      </c>
      <c r="AM3">
        <v>0</v>
      </c>
      <c r="AN3">
        <f>SUM(VEDA[[#This Row],[s28_TORS_CCCC]:[s30_TORS_CCCC]])</f>
        <v>0</v>
      </c>
      <c r="AO3">
        <f>VEDA[[#This Row],[ν_CH]]+VEDA[[#This Row],[ν_CC]]+VEDA[[#This Row],[δ_HCC]]+VEDA[[#This Row],[δ_CCC]]+VEDA[[#This Row],[τ_HCCC]]+VEDA[[#This Row],[τ_CCCC]]</f>
        <v>99</v>
      </c>
    </row>
    <row r="4" spans="1:41" x14ac:dyDescent="0.3">
      <c r="A4">
        <v>3</v>
      </c>
      <c r="B4">
        <v>3209.6325000000002</v>
      </c>
      <c r="C4">
        <v>3210.45</v>
      </c>
      <c r="D4" t="s">
        <v>87</v>
      </c>
      <c r="E4">
        <v>99</v>
      </c>
      <c r="F4">
        <v>0</v>
      </c>
      <c r="G4">
        <v>0</v>
      </c>
      <c r="H4">
        <v>0</v>
      </c>
      <c r="I4">
        <v>0</v>
      </c>
      <c r="J4">
        <v>0</v>
      </c>
      <c r="K4">
        <f>SUM(VEDA[[#This Row],[s1_STRE_CH]:[s6_STRE_CH]])</f>
        <v>99</v>
      </c>
      <c r="L4">
        <v>0</v>
      </c>
      <c r="M4">
        <v>0</v>
      </c>
      <c r="N4">
        <v>0</v>
      </c>
      <c r="O4">
        <v>0</v>
      </c>
      <c r="P4">
        <v>0</v>
      </c>
      <c r="Q4">
        <f>SUM(VEDA[[#This Row],[s7_STRE_CC]:[s11_STRE_CC]])</f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f>SUM(VEDA[[#This Row],[s13_BEND_HCC]:[s18_BEND_HCC]])</f>
        <v>0</v>
      </c>
      <c r="Y4">
        <v>0</v>
      </c>
      <c r="Z4">
        <v>0</v>
      </c>
      <c r="AA4">
        <v>0</v>
      </c>
      <c r="AB4">
        <v>0</v>
      </c>
      <c r="AC4">
        <f>SUM(VEDA[[#This Row],[s12_BEND_CCC]:[s21_BEND_CCC]])</f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>SUM(VEDA[[#This Row],[s22_TORS_HCCC]:[s27_TORS_HCCC]])</f>
        <v>0</v>
      </c>
      <c r="AK4">
        <v>0</v>
      </c>
      <c r="AL4">
        <v>0</v>
      </c>
      <c r="AM4">
        <v>0</v>
      </c>
      <c r="AN4">
        <f>SUM(VEDA[[#This Row],[s28_TORS_CCCC]:[s30_TORS_CCCC]])</f>
        <v>0</v>
      </c>
      <c r="AO4">
        <f>VEDA[[#This Row],[ν_CH]]+VEDA[[#This Row],[ν_CC]]+VEDA[[#This Row],[δ_HCC]]+VEDA[[#This Row],[δ_CCC]]+VEDA[[#This Row],[τ_HCCC]]+VEDA[[#This Row],[τ_CCCC]]</f>
        <v>99</v>
      </c>
    </row>
    <row r="5" spans="1:41" x14ac:dyDescent="0.3">
      <c r="A5">
        <v>4</v>
      </c>
      <c r="B5">
        <v>3191.8910000000001</v>
      </c>
      <c r="C5">
        <v>3192.2</v>
      </c>
      <c r="D5" t="s">
        <v>87</v>
      </c>
      <c r="E5">
        <v>0</v>
      </c>
      <c r="F5">
        <v>0</v>
      </c>
      <c r="G5">
        <v>0</v>
      </c>
      <c r="H5">
        <v>11</v>
      </c>
      <c r="I5">
        <v>0</v>
      </c>
      <c r="J5">
        <v>89</v>
      </c>
      <c r="K5">
        <f>SUM(VEDA[[#This Row],[s1_STRE_CH]:[s6_STRE_CH]])</f>
        <v>100</v>
      </c>
      <c r="L5">
        <v>0</v>
      </c>
      <c r="M5">
        <v>0</v>
      </c>
      <c r="N5">
        <v>0</v>
      </c>
      <c r="O5">
        <v>0</v>
      </c>
      <c r="P5">
        <v>0</v>
      </c>
      <c r="Q5">
        <f>SUM(VEDA[[#This Row],[s7_STRE_CC]:[s11_STRE_CC]])</f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f>SUM(VEDA[[#This Row],[s13_BEND_HCC]:[s18_BEND_HCC]])</f>
        <v>0</v>
      </c>
      <c r="Y5">
        <v>0</v>
      </c>
      <c r="Z5">
        <v>0</v>
      </c>
      <c r="AA5">
        <v>0</v>
      </c>
      <c r="AB5">
        <v>0</v>
      </c>
      <c r="AC5">
        <f>SUM(VEDA[[#This Row],[s12_BEND_CCC]:[s21_BEND_CCC]])</f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>SUM(VEDA[[#This Row],[s22_TORS_HCCC]:[s27_TORS_HCCC]])</f>
        <v>0</v>
      </c>
      <c r="AK5">
        <v>0</v>
      </c>
      <c r="AL5">
        <v>0</v>
      </c>
      <c r="AM5">
        <v>0</v>
      </c>
      <c r="AN5">
        <f>SUM(VEDA[[#This Row],[s28_TORS_CCCC]:[s30_TORS_CCCC]])</f>
        <v>0</v>
      </c>
      <c r="AO5">
        <f>VEDA[[#This Row],[ν_CH]]+VEDA[[#This Row],[ν_CC]]+VEDA[[#This Row],[δ_HCC]]+VEDA[[#This Row],[δ_CCC]]+VEDA[[#This Row],[τ_HCCC]]+VEDA[[#This Row],[τ_CCCC]]</f>
        <v>100</v>
      </c>
    </row>
    <row r="6" spans="1:41" x14ac:dyDescent="0.3">
      <c r="A6">
        <v>5</v>
      </c>
      <c r="B6">
        <v>3191.8910000000001</v>
      </c>
      <c r="C6">
        <v>3192.19</v>
      </c>
      <c r="D6" t="s">
        <v>87</v>
      </c>
      <c r="E6">
        <v>0</v>
      </c>
      <c r="F6">
        <v>0</v>
      </c>
      <c r="G6">
        <v>0</v>
      </c>
      <c r="H6">
        <v>89</v>
      </c>
      <c r="I6">
        <v>0</v>
      </c>
      <c r="J6">
        <v>11</v>
      </c>
      <c r="K6">
        <f>SUM(VEDA[[#This Row],[s1_STRE_CH]:[s6_STRE_CH]])</f>
        <v>100</v>
      </c>
      <c r="L6">
        <v>0</v>
      </c>
      <c r="M6">
        <v>0</v>
      </c>
      <c r="N6">
        <v>0</v>
      </c>
      <c r="O6">
        <v>0</v>
      </c>
      <c r="P6">
        <v>0</v>
      </c>
      <c r="Q6">
        <f>SUM(VEDA[[#This Row],[s7_STRE_CC]:[s11_STRE_CC]])</f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f>SUM(VEDA[[#This Row],[s13_BEND_HCC]:[s18_BEND_HCC]])</f>
        <v>0</v>
      </c>
      <c r="Y6">
        <v>0</v>
      </c>
      <c r="Z6">
        <v>0</v>
      </c>
      <c r="AA6">
        <v>0</v>
      </c>
      <c r="AB6">
        <v>0</v>
      </c>
      <c r="AC6">
        <f>SUM(VEDA[[#This Row],[s12_BEND_CCC]:[s21_BEND_CCC]])</f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>SUM(VEDA[[#This Row],[s22_TORS_HCCC]:[s27_TORS_HCCC]])</f>
        <v>0</v>
      </c>
      <c r="AK6">
        <v>0</v>
      </c>
      <c r="AL6">
        <v>0</v>
      </c>
      <c r="AM6">
        <v>0</v>
      </c>
      <c r="AN6">
        <f>SUM(VEDA[[#This Row],[s28_TORS_CCCC]:[s30_TORS_CCCC]])</f>
        <v>0</v>
      </c>
      <c r="AO6">
        <f>VEDA[[#This Row],[ν_CH]]+VEDA[[#This Row],[ν_CC]]+VEDA[[#This Row],[δ_HCC]]+VEDA[[#This Row],[δ_CCC]]+VEDA[[#This Row],[τ_HCCC]]+VEDA[[#This Row],[τ_CCCC]]</f>
        <v>100</v>
      </c>
    </row>
    <row r="7" spans="1:41" x14ac:dyDescent="0.3">
      <c r="A7">
        <v>6</v>
      </c>
      <c r="B7">
        <v>3182.2914999999998</v>
      </c>
      <c r="C7">
        <v>3182.59</v>
      </c>
      <c r="D7" t="s">
        <v>87</v>
      </c>
      <c r="E7">
        <v>0</v>
      </c>
      <c r="F7">
        <v>0</v>
      </c>
      <c r="G7">
        <v>100</v>
      </c>
      <c r="H7">
        <v>0</v>
      </c>
      <c r="I7">
        <v>0</v>
      </c>
      <c r="J7">
        <v>0</v>
      </c>
      <c r="K7">
        <f>SUM(VEDA[[#This Row],[s1_STRE_CH]:[s6_STRE_CH]])</f>
        <v>100</v>
      </c>
      <c r="L7">
        <v>0</v>
      </c>
      <c r="M7">
        <v>0</v>
      </c>
      <c r="N7">
        <v>0</v>
      </c>
      <c r="O7">
        <v>0</v>
      </c>
      <c r="P7">
        <v>0</v>
      </c>
      <c r="Q7">
        <f>SUM(VEDA[[#This Row],[s7_STRE_CC]:[s11_STRE_CC]])</f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f>SUM(VEDA[[#This Row],[s13_BEND_HCC]:[s18_BEND_HCC]])</f>
        <v>0</v>
      </c>
      <c r="Y7">
        <v>0</v>
      </c>
      <c r="Z7">
        <v>0</v>
      </c>
      <c r="AA7">
        <v>0</v>
      </c>
      <c r="AB7">
        <v>0</v>
      </c>
      <c r="AC7">
        <f>SUM(VEDA[[#This Row],[s12_BEND_CCC]:[s21_BEND_CCC]])</f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>SUM(VEDA[[#This Row],[s22_TORS_HCCC]:[s27_TORS_HCCC]])</f>
        <v>0</v>
      </c>
      <c r="AK7">
        <v>0</v>
      </c>
      <c r="AL7">
        <v>0</v>
      </c>
      <c r="AM7">
        <v>0</v>
      </c>
      <c r="AN7">
        <f>SUM(VEDA[[#This Row],[s28_TORS_CCCC]:[s30_TORS_CCCC]])</f>
        <v>0</v>
      </c>
      <c r="AO7">
        <f>VEDA[[#This Row],[ν_CH]]+VEDA[[#This Row],[ν_CC]]+VEDA[[#This Row],[δ_HCC]]+VEDA[[#This Row],[δ_CCC]]+VEDA[[#This Row],[τ_HCCC]]+VEDA[[#This Row],[τ_CCCC]]</f>
        <v>100</v>
      </c>
    </row>
    <row r="8" spans="1:41" x14ac:dyDescent="0.3">
      <c r="A8">
        <v>7</v>
      </c>
      <c r="B8">
        <v>1598.8987</v>
      </c>
      <c r="C8">
        <v>1599.51</v>
      </c>
      <c r="D8" t="s">
        <v>87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f>SUM(VEDA[[#This Row],[s1_STRE_CH]:[s6_STRE_CH]])</f>
        <v>0</v>
      </c>
      <c r="L8">
        <v>47</v>
      </c>
      <c r="M8">
        <v>11</v>
      </c>
      <c r="N8">
        <v>0</v>
      </c>
      <c r="O8">
        <v>2</v>
      </c>
      <c r="P8">
        <v>0</v>
      </c>
      <c r="Q8">
        <f>SUM(VEDA[[#This Row],[s7_STRE_CC]:[s11_STRE_CC]])</f>
        <v>60</v>
      </c>
      <c r="R8">
        <v>0</v>
      </c>
      <c r="S8">
        <v>31</v>
      </c>
      <c r="T8">
        <v>0</v>
      </c>
      <c r="U8">
        <v>0</v>
      </c>
      <c r="V8">
        <v>0</v>
      </c>
      <c r="W8">
        <v>1</v>
      </c>
      <c r="X8">
        <f>SUM(VEDA[[#This Row],[s13_BEND_HCC]:[s18_BEND_HCC]])</f>
        <v>32</v>
      </c>
      <c r="Y8">
        <v>0</v>
      </c>
      <c r="Z8">
        <v>6</v>
      </c>
      <c r="AA8">
        <v>1</v>
      </c>
      <c r="AB8">
        <v>0</v>
      </c>
      <c r="AC8">
        <f>SUM(VEDA[[#This Row],[s12_BEND_CCC]:[s21_BEND_CCC]])</f>
        <v>7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>SUM(VEDA[[#This Row],[s22_TORS_HCCC]:[s27_TORS_HCCC]])</f>
        <v>0</v>
      </c>
      <c r="AK8">
        <v>0</v>
      </c>
      <c r="AL8">
        <v>0</v>
      </c>
      <c r="AM8">
        <v>0</v>
      </c>
      <c r="AN8">
        <f>SUM(VEDA[[#This Row],[s28_TORS_CCCC]:[s30_TORS_CCCC]])</f>
        <v>0</v>
      </c>
      <c r="AO8">
        <f>VEDA[[#This Row],[ν_CH]]+VEDA[[#This Row],[ν_CC]]+VEDA[[#This Row],[δ_HCC]]+VEDA[[#This Row],[δ_CCC]]+VEDA[[#This Row],[τ_HCCC]]+VEDA[[#This Row],[τ_CCCC]]</f>
        <v>99</v>
      </c>
    </row>
    <row r="9" spans="1:41" x14ac:dyDescent="0.3">
      <c r="A9">
        <v>8</v>
      </c>
      <c r="B9">
        <v>1598.8987</v>
      </c>
      <c r="C9">
        <v>1599.51</v>
      </c>
      <c r="D9" t="s">
        <v>87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f>SUM(VEDA[[#This Row],[s1_STRE_CH]:[s6_STRE_CH]])</f>
        <v>0</v>
      </c>
      <c r="L9">
        <v>7</v>
      </c>
      <c r="M9">
        <v>63</v>
      </c>
      <c r="N9">
        <v>0</v>
      </c>
      <c r="O9">
        <v>-10</v>
      </c>
      <c r="P9">
        <v>0</v>
      </c>
      <c r="Q9">
        <f>SUM(VEDA[[#This Row],[s7_STRE_CC]:[s11_STRE_CC]])</f>
        <v>60</v>
      </c>
      <c r="R9">
        <v>1</v>
      </c>
      <c r="S9">
        <v>1</v>
      </c>
      <c r="T9">
        <v>0</v>
      </c>
      <c r="U9">
        <v>0</v>
      </c>
      <c r="V9">
        <v>0</v>
      </c>
      <c r="W9">
        <v>26</v>
      </c>
      <c r="X9">
        <f>SUM(VEDA[[#This Row],[s13_BEND_HCC]:[s18_BEND_HCC]])</f>
        <v>28</v>
      </c>
      <c r="Y9">
        <v>0</v>
      </c>
      <c r="Z9">
        <v>2</v>
      </c>
      <c r="AA9">
        <v>11</v>
      </c>
      <c r="AB9">
        <v>0</v>
      </c>
      <c r="AC9">
        <f>SUM(VEDA[[#This Row],[s12_BEND_CCC]:[s21_BEND_CCC]])</f>
        <v>13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>SUM(VEDA[[#This Row],[s22_TORS_HCCC]:[s27_TORS_HCCC]])</f>
        <v>0</v>
      </c>
      <c r="AK9">
        <v>0</v>
      </c>
      <c r="AL9">
        <v>0</v>
      </c>
      <c r="AM9">
        <v>0</v>
      </c>
      <c r="AN9">
        <f>SUM(VEDA[[#This Row],[s28_TORS_CCCC]:[s30_TORS_CCCC]])</f>
        <v>0</v>
      </c>
      <c r="AO9">
        <f>VEDA[[#This Row],[ν_CH]]+VEDA[[#This Row],[ν_CC]]+VEDA[[#This Row],[δ_HCC]]+VEDA[[#This Row],[δ_CCC]]+VEDA[[#This Row],[τ_HCCC]]+VEDA[[#This Row],[τ_CCCC]]</f>
        <v>101</v>
      </c>
    </row>
    <row r="10" spans="1:41" x14ac:dyDescent="0.3">
      <c r="A10">
        <v>9</v>
      </c>
      <c r="B10">
        <v>1532.8465000000001</v>
      </c>
      <c r="C10">
        <v>1533.43</v>
      </c>
      <c r="D10" t="s">
        <v>87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SUM(VEDA[[#This Row],[s1_STRE_CH]:[s6_STRE_CH]])</f>
        <v>0</v>
      </c>
      <c r="L10">
        <v>0</v>
      </c>
      <c r="M10">
        <v>0</v>
      </c>
      <c r="N10">
        <v>0</v>
      </c>
      <c r="O10">
        <v>5</v>
      </c>
      <c r="P10">
        <v>0</v>
      </c>
      <c r="Q10">
        <f>SUM(VEDA[[#This Row],[s7_STRE_CC]:[s11_STRE_CC]])</f>
        <v>5</v>
      </c>
      <c r="R10">
        <v>1</v>
      </c>
      <c r="S10">
        <v>1</v>
      </c>
      <c r="T10">
        <v>73</v>
      </c>
      <c r="U10">
        <v>0</v>
      </c>
      <c r="V10">
        <v>1</v>
      </c>
      <c r="W10">
        <v>0</v>
      </c>
      <c r="X10">
        <f>SUM(VEDA[[#This Row],[s13_BEND_HCC]:[s18_BEND_HCC]])</f>
        <v>76</v>
      </c>
      <c r="Y10">
        <v>9</v>
      </c>
      <c r="Z10">
        <v>0</v>
      </c>
      <c r="AA10">
        <v>4</v>
      </c>
      <c r="AB10">
        <v>6</v>
      </c>
      <c r="AC10">
        <f>SUM(VEDA[[#This Row],[s12_BEND_CCC]:[s21_BEND_CCC]])</f>
        <v>19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>SUM(VEDA[[#This Row],[s22_TORS_HCCC]:[s27_TORS_HCCC]])</f>
        <v>0</v>
      </c>
      <c r="AK10">
        <v>0</v>
      </c>
      <c r="AL10">
        <v>0</v>
      </c>
      <c r="AM10">
        <v>0</v>
      </c>
      <c r="AN10">
        <f>SUM(VEDA[[#This Row],[s28_TORS_CCCC]:[s30_TORS_CCCC]])</f>
        <v>0</v>
      </c>
      <c r="AO10">
        <f>VEDA[[#This Row],[ν_CH]]+VEDA[[#This Row],[ν_CC]]+VEDA[[#This Row],[δ_HCC]]+VEDA[[#This Row],[δ_CCC]]+VEDA[[#This Row],[τ_HCCC]]+VEDA[[#This Row],[τ_CCCC]]</f>
        <v>100</v>
      </c>
    </row>
    <row r="11" spans="1:41" x14ac:dyDescent="0.3">
      <c r="A11">
        <v>10</v>
      </c>
      <c r="B11">
        <v>1532.8465000000001</v>
      </c>
      <c r="C11">
        <v>1533.4</v>
      </c>
      <c r="D11" t="s">
        <v>87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f>SUM(VEDA[[#This Row],[s1_STRE_CH]:[s6_STRE_CH]])</f>
        <v>0</v>
      </c>
      <c r="L11">
        <v>0</v>
      </c>
      <c r="M11">
        <v>0</v>
      </c>
      <c r="N11">
        <v>0</v>
      </c>
      <c r="O11">
        <v>6</v>
      </c>
      <c r="P11">
        <v>0</v>
      </c>
      <c r="Q11">
        <f>SUM(VEDA[[#This Row],[s7_STRE_CC]:[s11_STRE_CC]])</f>
        <v>6</v>
      </c>
      <c r="R11">
        <v>0</v>
      </c>
      <c r="S11">
        <v>-1</v>
      </c>
      <c r="T11">
        <v>0</v>
      </c>
      <c r="U11">
        <v>0</v>
      </c>
      <c r="V11">
        <v>81</v>
      </c>
      <c r="W11">
        <v>-1</v>
      </c>
      <c r="X11">
        <f>SUM(VEDA[[#This Row],[s13_BEND_HCC]:[s18_BEND_HCC]])</f>
        <v>79</v>
      </c>
      <c r="Y11">
        <v>-1</v>
      </c>
      <c r="Z11">
        <v>2</v>
      </c>
      <c r="AA11">
        <v>0</v>
      </c>
      <c r="AB11">
        <v>15</v>
      </c>
      <c r="AC11">
        <f>SUM(VEDA[[#This Row],[s12_BEND_CCC]:[s21_BEND_CCC]])</f>
        <v>16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>SUM(VEDA[[#This Row],[s22_TORS_HCCC]:[s27_TORS_HCCC]])</f>
        <v>0</v>
      </c>
      <c r="AK11">
        <v>0</v>
      </c>
      <c r="AL11">
        <v>0</v>
      </c>
      <c r="AM11">
        <v>0</v>
      </c>
      <c r="AN11">
        <f>SUM(VEDA[[#This Row],[s28_TORS_CCCC]:[s30_TORS_CCCC]])</f>
        <v>0</v>
      </c>
      <c r="AO11">
        <f>VEDA[[#This Row],[ν_CH]]+VEDA[[#This Row],[ν_CC]]+VEDA[[#This Row],[δ_HCC]]+VEDA[[#This Row],[δ_CCC]]+VEDA[[#This Row],[τ_HCCC]]+VEDA[[#This Row],[τ_CCCC]]</f>
        <v>101</v>
      </c>
    </row>
    <row r="12" spans="1:41" x14ac:dyDescent="0.3">
      <c r="A12">
        <v>11</v>
      </c>
      <c r="B12">
        <v>1435.4835</v>
      </c>
      <c r="C12">
        <v>1436.29</v>
      </c>
      <c r="D12" t="s">
        <v>87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f>SUM(VEDA[[#This Row],[s1_STRE_CH]:[s6_STRE_CH]])</f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f>SUM(VEDA[[#This Row],[s7_STRE_CC]:[s11_STRE_CC]])</f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0</v>
      </c>
      <c r="X12">
        <f>SUM(VEDA[[#This Row],[s13_BEND_HCC]:[s18_BEND_HCC]])</f>
        <v>100</v>
      </c>
      <c r="Y12">
        <v>0</v>
      </c>
      <c r="Z12">
        <v>0</v>
      </c>
      <c r="AA12">
        <v>0</v>
      </c>
      <c r="AB12">
        <v>0</v>
      </c>
      <c r="AC12">
        <f>SUM(VEDA[[#This Row],[s12_BEND_CCC]:[s21_BEND_CCC]])</f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f>SUM(VEDA[[#This Row],[s22_TORS_HCCC]:[s27_TORS_HCCC]])</f>
        <v>0</v>
      </c>
      <c r="AK12">
        <v>0</v>
      </c>
      <c r="AL12">
        <v>0</v>
      </c>
      <c r="AM12">
        <v>0</v>
      </c>
      <c r="AN12">
        <f>SUM(VEDA[[#This Row],[s28_TORS_CCCC]:[s30_TORS_CCCC]])</f>
        <v>0</v>
      </c>
      <c r="AO12">
        <f>VEDA[[#This Row],[ν_CH]]+VEDA[[#This Row],[ν_CC]]+VEDA[[#This Row],[δ_HCC]]+VEDA[[#This Row],[δ_CCC]]+VEDA[[#This Row],[τ_HCCC]]+VEDA[[#This Row],[τ_CCCC]]</f>
        <v>100</v>
      </c>
    </row>
    <row r="13" spans="1:41" x14ac:dyDescent="0.3">
      <c r="A13">
        <v>12</v>
      </c>
      <c r="B13">
        <v>1319.2684999999999</v>
      </c>
      <c r="C13">
        <v>1319.75</v>
      </c>
      <c r="D13" t="s">
        <v>87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>SUM(VEDA[[#This Row],[s1_STRE_CH]:[s6_STRE_CH]])</f>
        <v>0</v>
      </c>
      <c r="L13">
        <v>0</v>
      </c>
      <c r="M13">
        <v>0</v>
      </c>
      <c r="N13">
        <v>0</v>
      </c>
      <c r="O13">
        <v>0</v>
      </c>
      <c r="P13">
        <v>65</v>
      </c>
      <c r="Q13">
        <f>SUM(VEDA[[#This Row],[s7_STRE_CC]:[s11_STRE_CC]])</f>
        <v>65</v>
      </c>
      <c r="R13">
        <v>0</v>
      </c>
      <c r="S13">
        <v>0</v>
      </c>
      <c r="T13">
        <v>0</v>
      </c>
      <c r="U13">
        <v>35</v>
      </c>
      <c r="V13">
        <v>0</v>
      </c>
      <c r="W13">
        <v>0</v>
      </c>
      <c r="X13">
        <f>SUM(VEDA[[#This Row],[s13_BEND_HCC]:[s18_BEND_HCC]])</f>
        <v>35</v>
      </c>
      <c r="Y13">
        <v>0</v>
      </c>
      <c r="Z13">
        <v>0</v>
      </c>
      <c r="AA13">
        <v>0</v>
      </c>
      <c r="AB13">
        <v>0</v>
      </c>
      <c r="AC13">
        <f>SUM(VEDA[[#This Row],[s12_BEND_CCC]:[s21_BEND_CCC]])</f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f>SUM(VEDA[[#This Row],[s22_TORS_HCCC]:[s27_TORS_HCCC]])</f>
        <v>0</v>
      </c>
      <c r="AK13">
        <v>0</v>
      </c>
      <c r="AL13">
        <v>0</v>
      </c>
      <c r="AM13">
        <v>0</v>
      </c>
      <c r="AN13">
        <f>SUM(VEDA[[#This Row],[s28_TORS_CCCC]:[s30_TORS_CCCC]])</f>
        <v>0</v>
      </c>
      <c r="AO13">
        <f>VEDA[[#This Row],[ν_CH]]+VEDA[[#This Row],[ν_CC]]+VEDA[[#This Row],[δ_HCC]]+VEDA[[#This Row],[δ_CCC]]+VEDA[[#This Row],[τ_HCCC]]+VEDA[[#This Row],[τ_CCCC]]</f>
        <v>100</v>
      </c>
    </row>
    <row r="14" spans="1:41" x14ac:dyDescent="0.3">
      <c r="A14">
        <v>13</v>
      </c>
      <c r="B14">
        <v>1247.1403</v>
      </c>
      <c r="C14">
        <v>1247.31</v>
      </c>
      <c r="D14" t="s">
        <v>87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f>SUM(VEDA[[#This Row],[s1_STRE_CH]:[s6_STRE_CH]])</f>
        <v>0</v>
      </c>
      <c r="L14">
        <v>0</v>
      </c>
      <c r="M14">
        <v>44</v>
      </c>
      <c r="N14">
        <v>0</v>
      </c>
      <c r="O14">
        <v>-10</v>
      </c>
      <c r="P14">
        <v>0</v>
      </c>
      <c r="Q14">
        <f>SUM(VEDA[[#This Row],[s7_STRE_CC]:[s11_STRE_CC]])</f>
        <v>34</v>
      </c>
      <c r="R14">
        <v>-1</v>
      </c>
      <c r="S14">
        <v>0</v>
      </c>
      <c r="T14">
        <v>0</v>
      </c>
      <c r="U14">
        <v>0</v>
      </c>
      <c r="V14">
        <v>0</v>
      </c>
      <c r="W14">
        <v>70</v>
      </c>
      <c r="X14">
        <f>SUM(VEDA[[#This Row],[s13_BEND_HCC]:[s18_BEND_HCC]])</f>
        <v>69</v>
      </c>
      <c r="Y14">
        <v>0</v>
      </c>
      <c r="Z14">
        <v>-1</v>
      </c>
      <c r="AA14">
        <v>-1</v>
      </c>
      <c r="AB14">
        <v>0</v>
      </c>
      <c r="AC14">
        <f>SUM(VEDA[[#This Row],[s12_BEND_CCC]:[s21_BEND_CCC]])</f>
        <v>-2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f>SUM(VEDA[[#This Row],[s22_TORS_HCCC]:[s27_TORS_HCCC]])</f>
        <v>0</v>
      </c>
      <c r="AK14">
        <v>0</v>
      </c>
      <c r="AL14">
        <v>0</v>
      </c>
      <c r="AM14">
        <v>0</v>
      </c>
      <c r="AN14">
        <f>SUM(VEDA[[#This Row],[s28_TORS_CCCC]:[s30_TORS_CCCC]])</f>
        <v>0</v>
      </c>
      <c r="AO14">
        <f>VEDA[[#This Row],[ν_CH]]+VEDA[[#This Row],[ν_CC]]+VEDA[[#This Row],[δ_HCC]]+VEDA[[#This Row],[δ_CCC]]+VEDA[[#This Row],[τ_HCCC]]+VEDA[[#This Row],[τ_CCCC]]</f>
        <v>101</v>
      </c>
    </row>
    <row r="15" spans="1:41" x14ac:dyDescent="0.3">
      <c r="A15">
        <v>14</v>
      </c>
      <c r="B15">
        <v>1247.1403</v>
      </c>
      <c r="C15">
        <v>1247.3</v>
      </c>
      <c r="D15" t="s">
        <v>87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>SUM(VEDA[[#This Row],[s1_STRE_CH]:[s6_STRE_CH]])</f>
        <v>0</v>
      </c>
      <c r="L15">
        <v>30</v>
      </c>
      <c r="M15">
        <v>-3</v>
      </c>
      <c r="N15">
        <v>0</v>
      </c>
      <c r="O15">
        <v>6</v>
      </c>
      <c r="P15">
        <v>0</v>
      </c>
      <c r="Q15">
        <f>SUM(VEDA[[#This Row],[s7_STRE_CC]:[s11_STRE_CC]])</f>
        <v>33</v>
      </c>
      <c r="R15">
        <v>0</v>
      </c>
      <c r="S15">
        <v>67</v>
      </c>
      <c r="T15">
        <v>0</v>
      </c>
      <c r="U15">
        <v>0</v>
      </c>
      <c r="V15">
        <v>0</v>
      </c>
      <c r="W15">
        <v>0</v>
      </c>
      <c r="X15">
        <f>SUM(VEDA[[#This Row],[s13_BEND_HCC]:[s18_BEND_HCC]])</f>
        <v>67</v>
      </c>
      <c r="Y15">
        <v>0</v>
      </c>
      <c r="Z15">
        <v>1</v>
      </c>
      <c r="AA15">
        <v>-1</v>
      </c>
      <c r="AB15">
        <v>0</v>
      </c>
      <c r="AC15">
        <f>SUM(VEDA[[#This Row],[s12_BEND_CCC]:[s21_BEND_CCC]])</f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f>SUM(VEDA[[#This Row],[s22_TORS_HCCC]:[s27_TORS_HCCC]])</f>
        <v>0</v>
      </c>
      <c r="AK15">
        <v>0</v>
      </c>
      <c r="AL15">
        <v>0</v>
      </c>
      <c r="AM15">
        <v>0</v>
      </c>
      <c r="AN15">
        <f>SUM(VEDA[[#This Row],[s28_TORS_CCCC]:[s30_TORS_CCCC]])</f>
        <v>0</v>
      </c>
      <c r="AO15">
        <f>VEDA[[#This Row],[ν_CH]]+VEDA[[#This Row],[ν_CC]]+VEDA[[#This Row],[δ_HCC]]+VEDA[[#This Row],[δ_CCC]]+VEDA[[#This Row],[τ_HCCC]]+VEDA[[#This Row],[τ_CCCC]]</f>
        <v>100</v>
      </c>
    </row>
    <row r="16" spans="1:41" x14ac:dyDescent="0.3">
      <c r="A16">
        <v>15</v>
      </c>
      <c r="B16">
        <v>1237.2932000000001</v>
      </c>
      <c r="C16">
        <v>1237.48</v>
      </c>
      <c r="D16" t="s">
        <v>87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f>SUM(VEDA[[#This Row],[s1_STRE_CH]:[s6_STRE_CH]])</f>
        <v>0</v>
      </c>
      <c r="L16">
        <v>0</v>
      </c>
      <c r="M16">
        <v>0</v>
      </c>
      <c r="N16">
        <v>0</v>
      </c>
      <c r="O16">
        <v>0</v>
      </c>
      <c r="P16">
        <v>35</v>
      </c>
      <c r="Q16">
        <f>SUM(VEDA[[#This Row],[s7_STRE_CC]:[s11_STRE_CC]])</f>
        <v>35</v>
      </c>
      <c r="R16">
        <v>0</v>
      </c>
      <c r="S16">
        <v>0</v>
      </c>
      <c r="T16">
        <v>0</v>
      </c>
      <c r="U16">
        <v>65</v>
      </c>
      <c r="V16">
        <v>0</v>
      </c>
      <c r="W16">
        <v>0</v>
      </c>
      <c r="X16">
        <f>SUM(VEDA[[#This Row],[s13_BEND_HCC]:[s18_BEND_HCC]])</f>
        <v>65</v>
      </c>
      <c r="Y16">
        <v>0</v>
      </c>
      <c r="Z16">
        <v>0</v>
      </c>
      <c r="AA16">
        <v>0</v>
      </c>
      <c r="AB16">
        <v>0</v>
      </c>
      <c r="AC16">
        <f>SUM(VEDA[[#This Row],[s12_BEND_CCC]:[s21_BEND_CCC]])</f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f>SUM(VEDA[[#This Row],[s22_TORS_HCCC]:[s27_TORS_HCCC]])</f>
        <v>0</v>
      </c>
      <c r="AK16">
        <v>0</v>
      </c>
      <c r="AL16">
        <v>0</v>
      </c>
      <c r="AM16">
        <v>0</v>
      </c>
      <c r="AN16">
        <f>SUM(VEDA[[#This Row],[s28_TORS_CCCC]:[s30_TORS_CCCC]])</f>
        <v>0</v>
      </c>
      <c r="AO16">
        <f>VEDA[[#This Row],[ν_CH]]+VEDA[[#This Row],[ν_CC]]+VEDA[[#This Row],[δ_HCC]]+VEDA[[#This Row],[δ_CCC]]+VEDA[[#This Row],[τ_HCCC]]+VEDA[[#This Row],[τ_CCCC]]</f>
        <v>100</v>
      </c>
    </row>
    <row r="17" spans="1:41" x14ac:dyDescent="0.3">
      <c r="A17">
        <v>16</v>
      </c>
      <c r="B17">
        <v>1067.4649999999999</v>
      </c>
      <c r="C17">
        <v>1067.92</v>
      </c>
      <c r="D17" t="s">
        <v>87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f>SUM(VEDA[[#This Row],[s1_STRE_CH]:[s6_STRE_CH]])</f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f>SUM(VEDA[[#This Row],[s7_STRE_CC]:[s11_STRE_CC]])</f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f>SUM(VEDA[[#This Row],[s13_BEND_HCC]:[s18_BEND_HCC]])</f>
        <v>0</v>
      </c>
      <c r="Y17">
        <v>100</v>
      </c>
      <c r="Z17">
        <v>0</v>
      </c>
      <c r="AA17">
        <v>0</v>
      </c>
      <c r="AB17">
        <v>0</v>
      </c>
      <c r="AC17">
        <f>SUM(VEDA[[#This Row],[s12_BEND_CCC]:[s21_BEND_CCC]])</f>
        <v>100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f>SUM(VEDA[[#This Row],[s22_TORS_HCCC]:[s27_TORS_HCCC]])</f>
        <v>0</v>
      </c>
      <c r="AK17">
        <v>0</v>
      </c>
      <c r="AL17">
        <v>0</v>
      </c>
      <c r="AM17">
        <v>0</v>
      </c>
      <c r="AN17">
        <f>SUM(VEDA[[#This Row],[s28_TORS_CCCC]:[s30_TORS_CCCC]])</f>
        <v>0</v>
      </c>
      <c r="AO17">
        <f>VEDA[[#This Row],[ν_CH]]+VEDA[[#This Row],[ν_CC]]+VEDA[[#This Row],[δ_HCC]]+VEDA[[#This Row],[δ_CCC]]+VEDA[[#This Row],[τ_HCCC]]+VEDA[[#This Row],[τ_CCCC]]</f>
        <v>100</v>
      </c>
    </row>
    <row r="18" spans="1:41" x14ac:dyDescent="0.3">
      <c r="A18">
        <v>17</v>
      </c>
      <c r="B18">
        <v>1056.3901000000001</v>
      </c>
      <c r="C18">
        <v>1056.73</v>
      </c>
      <c r="D18" t="s">
        <v>87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f>SUM(VEDA[[#This Row],[s1_STRE_CH]:[s6_STRE_CH]])</f>
        <v>0</v>
      </c>
      <c r="L18">
        <v>0</v>
      </c>
      <c r="M18">
        <v>0</v>
      </c>
      <c r="N18">
        <v>0</v>
      </c>
      <c r="O18">
        <v>87</v>
      </c>
      <c r="P18">
        <v>0</v>
      </c>
      <c r="Q18">
        <f>SUM(VEDA[[#This Row],[s7_STRE_CC]:[s11_STRE_CC]])</f>
        <v>87</v>
      </c>
      <c r="R18">
        <v>0</v>
      </c>
      <c r="S18">
        <v>0</v>
      </c>
      <c r="T18">
        <v>7</v>
      </c>
      <c r="U18">
        <v>0</v>
      </c>
      <c r="V18">
        <v>13</v>
      </c>
      <c r="W18">
        <v>0</v>
      </c>
      <c r="X18">
        <f>SUM(VEDA[[#This Row],[s13_BEND_HCC]:[s18_BEND_HCC]])</f>
        <v>20</v>
      </c>
      <c r="Y18">
        <v>-2</v>
      </c>
      <c r="Z18">
        <v>-2</v>
      </c>
      <c r="AA18">
        <v>-1</v>
      </c>
      <c r="AB18">
        <v>-3</v>
      </c>
      <c r="AC18">
        <f>SUM(VEDA[[#This Row],[s12_BEND_CCC]:[s21_BEND_CCC]])</f>
        <v>-8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f>SUM(VEDA[[#This Row],[s22_TORS_HCCC]:[s27_TORS_HCCC]])</f>
        <v>0</v>
      </c>
      <c r="AK18">
        <v>0</v>
      </c>
      <c r="AL18">
        <v>0</v>
      </c>
      <c r="AM18">
        <v>0</v>
      </c>
      <c r="AN18">
        <f>SUM(VEDA[[#This Row],[s28_TORS_CCCC]:[s30_TORS_CCCC]])</f>
        <v>0</v>
      </c>
      <c r="AO18">
        <f>VEDA[[#This Row],[ν_CH]]+VEDA[[#This Row],[ν_CC]]+VEDA[[#This Row],[δ_HCC]]+VEDA[[#This Row],[δ_CCC]]+VEDA[[#This Row],[τ_HCCC]]+VEDA[[#This Row],[τ_CCCC]]</f>
        <v>99</v>
      </c>
    </row>
    <row r="19" spans="1:41" x14ac:dyDescent="0.3">
      <c r="A19">
        <v>18</v>
      </c>
      <c r="B19">
        <v>1056.3901000000001</v>
      </c>
      <c r="C19">
        <v>1056.71</v>
      </c>
      <c r="D19" t="s">
        <v>87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f>SUM(VEDA[[#This Row],[s1_STRE_CH]:[s6_STRE_CH]])</f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f>SUM(VEDA[[#This Row],[s7_STRE_CC]:[s11_STRE_CC]])</f>
        <v>1</v>
      </c>
      <c r="R19">
        <v>-1</v>
      </c>
      <c r="S19">
        <v>0</v>
      </c>
      <c r="T19">
        <v>20</v>
      </c>
      <c r="U19">
        <v>0</v>
      </c>
      <c r="V19">
        <v>4</v>
      </c>
      <c r="W19">
        <v>1</v>
      </c>
      <c r="X19">
        <f>SUM(VEDA[[#This Row],[s13_BEND_HCC]:[s18_BEND_HCC]])</f>
        <v>24</v>
      </c>
      <c r="Y19">
        <v>-5</v>
      </c>
      <c r="Z19">
        <v>0</v>
      </c>
      <c r="AA19">
        <v>-2</v>
      </c>
      <c r="AB19">
        <v>82</v>
      </c>
      <c r="AC19">
        <f>SUM(VEDA[[#This Row],[s12_BEND_CCC]:[s21_BEND_CCC]])</f>
        <v>75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f>SUM(VEDA[[#This Row],[s22_TORS_HCCC]:[s27_TORS_HCCC]])</f>
        <v>0</v>
      </c>
      <c r="AK19">
        <v>0</v>
      </c>
      <c r="AL19">
        <v>0</v>
      </c>
      <c r="AM19">
        <v>0</v>
      </c>
      <c r="AN19">
        <f>SUM(VEDA[[#This Row],[s28_TORS_CCCC]:[s30_TORS_CCCC]])</f>
        <v>0</v>
      </c>
      <c r="AO19">
        <f>VEDA[[#This Row],[ν_CH]]+VEDA[[#This Row],[ν_CC]]+VEDA[[#This Row],[δ_HCC]]+VEDA[[#This Row],[δ_CCC]]+VEDA[[#This Row],[τ_HCCC]]+VEDA[[#This Row],[τ_CCCC]]</f>
        <v>100</v>
      </c>
    </row>
    <row r="20" spans="1:41" x14ac:dyDescent="0.3">
      <c r="A20">
        <v>19</v>
      </c>
      <c r="B20">
        <v>992.58299999999997</v>
      </c>
      <c r="C20">
        <v>993</v>
      </c>
      <c r="D20" t="s">
        <v>87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f>SUM(VEDA[[#This Row],[s1_STRE_CH]:[s6_STRE_CH]])</f>
        <v>1</v>
      </c>
      <c r="L20">
        <v>17</v>
      </c>
      <c r="M20">
        <v>-17</v>
      </c>
      <c r="N20">
        <v>99</v>
      </c>
      <c r="O20">
        <v>0</v>
      </c>
      <c r="P20">
        <v>0</v>
      </c>
      <c r="Q20">
        <f>SUM(VEDA[[#This Row],[s7_STRE_CC]:[s11_STRE_CC]])</f>
        <v>99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f>SUM(VEDA[[#This Row],[s13_BEND_HCC]:[s18_BEND_HCC]])</f>
        <v>0</v>
      </c>
      <c r="Y20">
        <v>0</v>
      </c>
      <c r="Z20">
        <v>0</v>
      </c>
      <c r="AA20">
        <v>0</v>
      </c>
      <c r="AB20">
        <v>0</v>
      </c>
      <c r="AC20">
        <f>SUM(VEDA[[#This Row],[s12_BEND_CCC]:[s21_BEND_CCC]])</f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f>SUM(VEDA[[#This Row],[s22_TORS_HCCC]:[s27_TORS_HCCC]])</f>
        <v>0</v>
      </c>
      <c r="AK20">
        <v>0</v>
      </c>
      <c r="AL20">
        <v>0</v>
      </c>
      <c r="AM20">
        <v>0</v>
      </c>
      <c r="AN20">
        <f>SUM(VEDA[[#This Row],[s28_TORS_CCCC]:[s30_TORS_CCCC]])</f>
        <v>0</v>
      </c>
      <c r="AO20">
        <f>VEDA[[#This Row],[ν_CH]]+VEDA[[#This Row],[ν_CC]]+VEDA[[#This Row],[δ_HCC]]+VEDA[[#This Row],[δ_CCC]]+VEDA[[#This Row],[τ_HCCC]]+VEDA[[#This Row],[τ_CCCC]]</f>
        <v>100</v>
      </c>
    </row>
    <row r="21" spans="1:41" x14ac:dyDescent="0.3">
      <c r="A21">
        <v>20</v>
      </c>
      <c r="B21">
        <v>933.5249</v>
      </c>
      <c r="C21">
        <v>933.6</v>
      </c>
      <c r="D21" t="s">
        <v>87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f>SUM(VEDA[[#This Row],[s1_STRE_CH]:[s6_STRE_CH]])</f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f>SUM(VEDA[[#This Row],[s7_STRE_CC]:[s11_STRE_CC]])</f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f>SUM(VEDA[[#This Row],[s13_BEND_HCC]:[s18_BEND_HCC]])</f>
        <v>0</v>
      </c>
      <c r="Y21">
        <v>0</v>
      </c>
      <c r="Z21">
        <v>0</v>
      </c>
      <c r="AA21">
        <v>0</v>
      </c>
      <c r="AB21">
        <v>0</v>
      </c>
      <c r="AC21">
        <f>SUM(VEDA[[#This Row],[s12_BEND_CCC]:[s21_BEND_CCC]])</f>
        <v>0</v>
      </c>
      <c r="AD21">
        <v>0</v>
      </c>
      <c r="AE21">
        <v>0</v>
      </c>
      <c r="AF21">
        <v>0</v>
      </c>
      <c r="AG21">
        <v>91</v>
      </c>
      <c r="AH21">
        <v>0</v>
      </c>
      <c r="AI21">
        <v>0</v>
      </c>
      <c r="AJ21">
        <f>SUM(VEDA[[#This Row],[s22_TORS_HCCC]:[s27_TORS_HCCC]])</f>
        <v>91</v>
      </c>
      <c r="AK21">
        <v>-10</v>
      </c>
      <c r="AL21">
        <v>19</v>
      </c>
      <c r="AM21">
        <v>0</v>
      </c>
      <c r="AN21">
        <f>SUM(VEDA[[#This Row],[s28_TORS_CCCC]:[s30_TORS_CCCC]])</f>
        <v>9</v>
      </c>
      <c r="AO21">
        <f>VEDA[[#This Row],[ν_CH]]+VEDA[[#This Row],[ν_CC]]+VEDA[[#This Row],[δ_HCC]]+VEDA[[#This Row],[δ_CCC]]+VEDA[[#This Row],[τ_HCCC]]+VEDA[[#This Row],[τ_CCCC]]</f>
        <v>100</v>
      </c>
    </row>
    <row r="22" spans="1:41" x14ac:dyDescent="0.3">
      <c r="A22">
        <v>21</v>
      </c>
      <c r="B22">
        <v>931.24170000000004</v>
      </c>
      <c r="C22">
        <v>931.41</v>
      </c>
      <c r="D22" t="s">
        <v>87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f>SUM(VEDA[[#This Row],[s1_STRE_CH]:[s6_STRE_CH]])</f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f>SUM(VEDA[[#This Row],[s7_STRE_CC]:[s11_STRE_CC]])</f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f>SUM(VEDA[[#This Row],[s13_BEND_HCC]:[s18_BEND_HCC]])</f>
        <v>0</v>
      </c>
      <c r="Y22">
        <v>0</v>
      </c>
      <c r="Z22">
        <v>0</v>
      </c>
      <c r="AA22">
        <v>0</v>
      </c>
      <c r="AB22">
        <v>0</v>
      </c>
      <c r="AC22">
        <f>SUM(VEDA[[#This Row],[s12_BEND_CCC]:[s21_BEND_CCC]])</f>
        <v>0</v>
      </c>
      <c r="AD22">
        <v>0</v>
      </c>
      <c r="AE22">
        <v>74</v>
      </c>
      <c r="AF22">
        <v>1</v>
      </c>
      <c r="AG22">
        <v>2</v>
      </c>
      <c r="AH22">
        <v>3</v>
      </c>
      <c r="AI22">
        <v>0</v>
      </c>
      <c r="AJ22">
        <f>SUM(VEDA[[#This Row],[s22_TORS_HCCC]:[s27_TORS_HCCC]])</f>
        <v>80</v>
      </c>
      <c r="AK22">
        <v>6</v>
      </c>
      <c r="AL22">
        <v>0</v>
      </c>
      <c r="AM22">
        <v>15</v>
      </c>
      <c r="AN22">
        <f>SUM(VEDA[[#This Row],[s28_TORS_CCCC]:[s30_TORS_CCCC]])</f>
        <v>21</v>
      </c>
      <c r="AO22">
        <f>VEDA[[#This Row],[ν_CH]]+VEDA[[#This Row],[ν_CC]]+VEDA[[#This Row],[δ_HCC]]+VEDA[[#This Row],[δ_CCC]]+VEDA[[#This Row],[τ_HCCC]]+VEDA[[#This Row],[τ_CCCC]]</f>
        <v>101</v>
      </c>
    </row>
    <row r="23" spans="1:41" x14ac:dyDescent="0.3">
      <c r="A23">
        <v>22</v>
      </c>
      <c r="B23">
        <v>931.24170000000004</v>
      </c>
      <c r="C23">
        <v>931.4</v>
      </c>
      <c r="D23" t="s">
        <v>87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f>SUM(VEDA[[#This Row],[s1_STRE_CH]:[s6_STRE_CH]])</f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f>SUM(VEDA[[#This Row],[s7_STRE_CC]:[s11_STRE_CC]])</f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f>SUM(VEDA[[#This Row],[s13_BEND_HCC]:[s18_BEND_HCC]])</f>
        <v>0</v>
      </c>
      <c r="Y23">
        <v>0</v>
      </c>
      <c r="Z23">
        <v>0</v>
      </c>
      <c r="AA23">
        <v>0</v>
      </c>
      <c r="AB23">
        <v>0</v>
      </c>
      <c r="AC23">
        <f>SUM(VEDA[[#This Row],[s12_BEND_CCC]:[s21_BEND_CCC]])</f>
        <v>0</v>
      </c>
      <c r="AD23">
        <v>0</v>
      </c>
      <c r="AE23">
        <v>1</v>
      </c>
      <c r="AF23">
        <v>90</v>
      </c>
      <c r="AG23">
        <v>0</v>
      </c>
      <c r="AH23">
        <v>0</v>
      </c>
      <c r="AI23">
        <v>0</v>
      </c>
      <c r="AJ23">
        <f>SUM(VEDA[[#This Row],[s22_TORS_HCCC]:[s27_TORS_HCCC]])</f>
        <v>91</v>
      </c>
      <c r="AK23">
        <v>9</v>
      </c>
      <c r="AL23">
        <v>0</v>
      </c>
      <c r="AM23">
        <v>0</v>
      </c>
      <c r="AN23">
        <f>SUM(VEDA[[#This Row],[s28_TORS_CCCC]:[s30_TORS_CCCC]])</f>
        <v>9</v>
      </c>
      <c r="AO23">
        <f>VEDA[[#This Row],[ν_CH]]+VEDA[[#This Row],[ν_CC]]+VEDA[[#This Row],[δ_HCC]]+VEDA[[#This Row],[δ_CCC]]+VEDA[[#This Row],[τ_HCCC]]+VEDA[[#This Row],[τ_CCCC]]</f>
        <v>100</v>
      </c>
    </row>
    <row r="24" spans="1:41" x14ac:dyDescent="0.3">
      <c r="A24">
        <v>23</v>
      </c>
      <c r="B24">
        <v>852.23140000000001</v>
      </c>
      <c r="C24">
        <v>852.72</v>
      </c>
      <c r="D24" t="s">
        <v>87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f>SUM(VEDA[[#This Row],[s1_STRE_CH]:[s6_STRE_CH]])</f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f>SUM(VEDA[[#This Row],[s7_STRE_CC]:[s11_STRE_CC]])</f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f>SUM(VEDA[[#This Row],[s13_BEND_HCC]:[s18_BEND_HCC]])</f>
        <v>0</v>
      </c>
      <c r="Y24">
        <v>0</v>
      </c>
      <c r="Z24">
        <v>0</v>
      </c>
      <c r="AA24">
        <v>0</v>
      </c>
      <c r="AB24">
        <v>0</v>
      </c>
      <c r="AC24">
        <f>SUM(VEDA[[#This Row],[s12_BEND_CCC]:[s21_BEND_CCC]])</f>
        <v>0</v>
      </c>
      <c r="AD24">
        <v>0</v>
      </c>
      <c r="AE24">
        <v>0</v>
      </c>
      <c r="AF24">
        <v>0</v>
      </c>
      <c r="AG24">
        <v>0</v>
      </c>
      <c r="AH24">
        <v>99</v>
      </c>
      <c r="AI24">
        <v>1</v>
      </c>
      <c r="AJ24">
        <f>SUM(VEDA[[#This Row],[s22_TORS_HCCC]:[s27_TORS_HCCC]])</f>
        <v>100</v>
      </c>
      <c r="AK24">
        <v>0</v>
      </c>
      <c r="AL24">
        <v>0</v>
      </c>
      <c r="AM24">
        <v>0</v>
      </c>
      <c r="AN24">
        <f>SUM(VEDA[[#This Row],[s28_TORS_CCCC]:[s30_TORS_CCCC]])</f>
        <v>0</v>
      </c>
      <c r="AO24">
        <f>VEDA[[#This Row],[ν_CH]]+VEDA[[#This Row],[ν_CC]]+VEDA[[#This Row],[δ_HCC]]+VEDA[[#This Row],[δ_CCC]]+VEDA[[#This Row],[τ_HCCC]]+VEDA[[#This Row],[τ_CCCC]]</f>
        <v>100</v>
      </c>
    </row>
    <row r="25" spans="1:41" x14ac:dyDescent="0.3">
      <c r="A25">
        <v>24</v>
      </c>
      <c r="B25">
        <v>852.23140000000001</v>
      </c>
      <c r="C25">
        <v>852.7</v>
      </c>
      <c r="D25" t="s">
        <v>87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f>SUM(VEDA[[#This Row],[s1_STRE_CH]:[s6_STRE_CH]])</f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f>SUM(VEDA[[#This Row],[s7_STRE_CC]:[s11_STRE_CC]])</f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f>SUM(VEDA[[#This Row],[s13_BEND_HCC]:[s18_BEND_HCC]])</f>
        <v>0</v>
      </c>
      <c r="Y25">
        <v>0</v>
      </c>
      <c r="Z25">
        <v>0</v>
      </c>
      <c r="AA25">
        <v>0</v>
      </c>
      <c r="AB25">
        <v>0</v>
      </c>
      <c r="AC25">
        <f>SUM(VEDA[[#This Row],[s12_BEND_CCC]:[s21_BEND_CCC]])</f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99</v>
      </c>
      <c r="AJ25">
        <f>SUM(VEDA[[#This Row],[s22_TORS_HCCC]:[s27_TORS_HCCC]])</f>
        <v>100</v>
      </c>
      <c r="AK25">
        <v>0</v>
      </c>
      <c r="AL25">
        <v>0</v>
      </c>
      <c r="AM25">
        <v>0</v>
      </c>
      <c r="AN25">
        <f>SUM(VEDA[[#This Row],[s28_TORS_CCCC]:[s30_TORS_CCCC]])</f>
        <v>0</v>
      </c>
      <c r="AO25">
        <f>VEDA[[#This Row],[ν_CH]]+VEDA[[#This Row],[ν_CC]]+VEDA[[#This Row],[δ_HCC]]+VEDA[[#This Row],[δ_CCC]]+VEDA[[#This Row],[τ_HCCC]]+VEDA[[#This Row],[τ_CCCC]]</f>
        <v>100</v>
      </c>
    </row>
    <row r="26" spans="1:41" x14ac:dyDescent="0.3">
      <c r="A26">
        <v>25</v>
      </c>
      <c r="B26">
        <v>684.1694</v>
      </c>
      <c r="C26">
        <v>684.48</v>
      </c>
      <c r="D26" t="s">
        <v>87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f>SUM(VEDA[[#This Row],[s1_STRE_CH]:[s6_STRE_CH]])</f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f>SUM(VEDA[[#This Row],[s7_STRE_CC]:[s11_STRE_CC]])</f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f>SUM(VEDA[[#This Row],[s13_BEND_HCC]:[s18_BEND_HCC]])</f>
        <v>0</v>
      </c>
      <c r="Y26">
        <v>0</v>
      </c>
      <c r="Z26">
        <v>0</v>
      </c>
      <c r="AA26">
        <v>0</v>
      </c>
      <c r="AB26">
        <v>0</v>
      </c>
      <c r="AC26">
        <f>SUM(VEDA[[#This Row],[s12_BEND_CCC]:[s21_BEND_CCC]])</f>
        <v>0</v>
      </c>
      <c r="AD26">
        <v>100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f>SUM(VEDA[[#This Row],[s22_TORS_HCCC]:[s27_TORS_HCCC]])</f>
        <v>100</v>
      </c>
      <c r="AK26">
        <v>0</v>
      </c>
      <c r="AL26">
        <v>0</v>
      </c>
      <c r="AM26">
        <v>0</v>
      </c>
      <c r="AN26">
        <f>SUM(VEDA[[#This Row],[s28_TORS_CCCC]:[s30_TORS_CCCC]])</f>
        <v>0</v>
      </c>
      <c r="AO26">
        <f>VEDA[[#This Row],[ν_CH]]+VEDA[[#This Row],[ν_CC]]+VEDA[[#This Row],[δ_HCC]]+VEDA[[#This Row],[δ_CCC]]+VEDA[[#This Row],[τ_HCCC]]+VEDA[[#This Row],[τ_CCCC]]</f>
        <v>100</v>
      </c>
    </row>
    <row r="27" spans="1:41" x14ac:dyDescent="0.3">
      <c r="A27">
        <v>26</v>
      </c>
      <c r="B27">
        <v>678.16520000000003</v>
      </c>
      <c r="C27">
        <v>678.46</v>
      </c>
      <c r="D27" t="s">
        <v>87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f>SUM(VEDA[[#This Row],[s1_STRE_CH]:[s6_STRE_CH]])</f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f>SUM(VEDA[[#This Row],[s7_STRE_CC]:[s11_STRE_CC]])</f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f>SUM(VEDA[[#This Row],[s13_BEND_HCC]:[s18_BEND_HCC]])</f>
        <v>0</v>
      </c>
      <c r="Y27">
        <v>0</v>
      </c>
      <c r="Z27">
        <v>0</v>
      </c>
      <c r="AA27">
        <v>0</v>
      </c>
      <c r="AB27">
        <v>0</v>
      </c>
      <c r="AC27">
        <f>SUM(VEDA[[#This Row],[s12_BEND_CCC]:[s21_BEND_CCC]])</f>
        <v>0</v>
      </c>
      <c r="AD27">
        <v>0</v>
      </c>
      <c r="AE27">
        <v>0</v>
      </c>
      <c r="AF27">
        <v>0</v>
      </c>
      <c r="AG27">
        <v>9</v>
      </c>
      <c r="AH27">
        <v>0</v>
      </c>
      <c r="AI27">
        <v>0</v>
      </c>
      <c r="AJ27">
        <f>SUM(VEDA[[#This Row],[s22_TORS_HCCC]:[s27_TORS_HCCC]])</f>
        <v>9</v>
      </c>
      <c r="AK27">
        <v>10</v>
      </c>
      <c r="AL27">
        <v>81</v>
      </c>
      <c r="AM27">
        <v>0</v>
      </c>
      <c r="AN27">
        <f>SUM(VEDA[[#This Row],[s28_TORS_CCCC]:[s30_TORS_CCCC]])</f>
        <v>91</v>
      </c>
      <c r="AO27">
        <f>VEDA[[#This Row],[ν_CH]]+VEDA[[#This Row],[ν_CC]]+VEDA[[#This Row],[δ_HCC]]+VEDA[[#This Row],[δ_CCC]]+VEDA[[#This Row],[τ_HCCC]]+VEDA[[#This Row],[τ_CCCC]]</f>
        <v>100</v>
      </c>
    </row>
    <row r="28" spans="1:41" x14ac:dyDescent="0.3">
      <c r="A28">
        <v>27</v>
      </c>
      <c r="B28">
        <v>645.89260000000002</v>
      </c>
      <c r="C28">
        <v>646.16999999999996</v>
      </c>
      <c r="D28" t="s">
        <v>87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f>SUM(VEDA[[#This Row],[s1_STRE_CH]:[s6_STRE_CH]])</f>
        <v>0</v>
      </c>
      <c r="L28">
        <v>-3</v>
      </c>
      <c r="M28">
        <v>-2</v>
      </c>
      <c r="N28">
        <v>0</v>
      </c>
      <c r="O28">
        <v>11</v>
      </c>
      <c r="P28">
        <v>0</v>
      </c>
      <c r="Q28">
        <f>SUM(VEDA[[#This Row],[s7_STRE_CC]:[s11_STRE_CC]])</f>
        <v>6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f>SUM(VEDA[[#This Row],[s13_BEND_HCC]:[s18_BEND_HCC]])</f>
        <v>1</v>
      </c>
      <c r="Y28">
        <v>0</v>
      </c>
      <c r="Z28">
        <v>91</v>
      </c>
      <c r="AA28">
        <v>1</v>
      </c>
      <c r="AB28">
        <v>0</v>
      </c>
      <c r="AC28">
        <f>SUM(VEDA[[#This Row],[s12_BEND_CCC]:[s21_BEND_CCC]])</f>
        <v>92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f>SUM(VEDA[[#This Row],[s22_TORS_HCCC]:[s27_TORS_HCCC]])</f>
        <v>0</v>
      </c>
      <c r="AK28">
        <v>0</v>
      </c>
      <c r="AL28">
        <v>0</v>
      </c>
      <c r="AM28">
        <v>0</v>
      </c>
      <c r="AN28">
        <f>SUM(VEDA[[#This Row],[s28_TORS_CCCC]:[s30_TORS_CCCC]])</f>
        <v>0</v>
      </c>
      <c r="AO28">
        <f>VEDA[[#This Row],[ν_CH]]+VEDA[[#This Row],[ν_CC]]+VEDA[[#This Row],[δ_HCC]]+VEDA[[#This Row],[δ_CCC]]+VEDA[[#This Row],[τ_HCCC]]+VEDA[[#This Row],[τ_CCCC]]</f>
        <v>99</v>
      </c>
    </row>
    <row r="29" spans="1:41" x14ac:dyDescent="0.3">
      <c r="A29">
        <v>28</v>
      </c>
      <c r="B29">
        <v>645.89260000000002</v>
      </c>
      <c r="C29">
        <v>646.16</v>
      </c>
      <c r="D29" t="s">
        <v>87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f>SUM(VEDA[[#This Row],[s1_STRE_CH]:[s6_STRE_CH]])</f>
        <v>0</v>
      </c>
      <c r="L29">
        <v>3</v>
      </c>
      <c r="M29">
        <v>4</v>
      </c>
      <c r="N29">
        <v>0</v>
      </c>
      <c r="O29">
        <v>0</v>
      </c>
      <c r="P29">
        <v>0</v>
      </c>
      <c r="Q29">
        <f>SUM(VEDA[[#This Row],[s7_STRE_CC]:[s11_STRE_CC]])</f>
        <v>7</v>
      </c>
      <c r="R29">
        <v>0</v>
      </c>
      <c r="S29">
        <v>1</v>
      </c>
      <c r="T29">
        <v>0</v>
      </c>
      <c r="U29">
        <v>0</v>
      </c>
      <c r="V29">
        <v>0</v>
      </c>
      <c r="W29">
        <v>2</v>
      </c>
      <c r="X29">
        <f>SUM(VEDA[[#This Row],[s13_BEND_HCC]:[s18_BEND_HCC]])</f>
        <v>3</v>
      </c>
      <c r="Y29">
        <v>0</v>
      </c>
      <c r="Z29">
        <v>1</v>
      </c>
      <c r="AA29">
        <v>89</v>
      </c>
      <c r="AB29">
        <v>0</v>
      </c>
      <c r="AC29">
        <f>SUM(VEDA[[#This Row],[s12_BEND_CCC]:[s21_BEND_CCC]])</f>
        <v>90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f>SUM(VEDA[[#This Row],[s22_TORS_HCCC]:[s27_TORS_HCCC]])</f>
        <v>0</v>
      </c>
      <c r="AK29">
        <v>0</v>
      </c>
      <c r="AL29">
        <v>0</v>
      </c>
      <c r="AM29">
        <v>0</v>
      </c>
      <c r="AN29">
        <f>SUM(VEDA[[#This Row],[s28_TORS_CCCC]:[s30_TORS_CCCC]])</f>
        <v>0</v>
      </c>
      <c r="AO29">
        <f>VEDA[[#This Row],[ν_CH]]+VEDA[[#This Row],[ν_CC]]+VEDA[[#This Row],[δ_HCC]]+VEDA[[#This Row],[δ_CCC]]+VEDA[[#This Row],[τ_HCCC]]+VEDA[[#This Row],[τ_CCCC]]</f>
        <v>100</v>
      </c>
    </row>
    <row r="30" spans="1:41" x14ac:dyDescent="0.3">
      <c r="A30">
        <v>29</v>
      </c>
      <c r="B30">
        <v>411.98469999999998</v>
      </c>
      <c r="C30">
        <v>412.13</v>
      </c>
      <c r="D30" t="s">
        <v>87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>SUM(VEDA[[#This Row],[s1_STRE_CH]:[s6_STRE_CH]])</f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f>SUM(VEDA[[#This Row],[s7_STRE_CC]:[s11_STRE_CC]])</f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f>SUM(VEDA[[#This Row],[s13_BEND_HCC]:[s18_BEND_HCC]])</f>
        <v>0</v>
      </c>
      <c r="Y30">
        <v>0</v>
      </c>
      <c r="Z30">
        <v>0</v>
      </c>
      <c r="AA30">
        <v>0</v>
      </c>
      <c r="AB30">
        <v>0</v>
      </c>
      <c r="AC30">
        <f>SUM(VEDA[[#This Row],[s12_BEND_CCC]:[s21_BEND_CCC]])</f>
        <v>0</v>
      </c>
      <c r="AD30">
        <v>0</v>
      </c>
      <c r="AE30">
        <v>2</v>
      </c>
      <c r="AF30">
        <v>11</v>
      </c>
      <c r="AG30">
        <v>-1</v>
      </c>
      <c r="AH30">
        <v>0</v>
      </c>
      <c r="AI30">
        <v>-1</v>
      </c>
      <c r="AJ30">
        <f>SUM(VEDA[[#This Row],[s22_TORS_HCCC]:[s27_TORS_HCCC]])</f>
        <v>11</v>
      </c>
      <c r="AK30">
        <v>80</v>
      </c>
      <c r="AL30">
        <v>0</v>
      </c>
      <c r="AM30">
        <v>7</v>
      </c>
      <c r="AN30">
        <f>SUM(VEDA[[#This Row],[s28_TORS_CCCC]:[s30_TORS_CCCC]])</f>
        <v>87</v>
      </c>
      <c r="AO30">
        <f>VEDA[[#This Row],[ν_CH]]+VEDA[[#This Row],[ν_CC]]+VEDA[[#This Row],[δ_HCC]]+VEDA[[#This Row],[δ_CCC]]+VEDA[[#This Row],[τ_HCCC]]+VEDA[[#This Row],[τ_CCCC]]</f>
        <v>98</v>
      </c>
    </row>
    <row r="31" spans="1:41" x14ac:dyDescent="0.3">
      <c r="A31">
        <v>30</v>
      </c>
      <c r="B31">
        <v>411.98469999999998</v>
      </c>
      <c r="C31">
        <v>412.12</v>
      </c>
      <c r="D31" t="s">
        <v>87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f>SUM(VEDA[[#This Row],[s1_STRE_CH]:[s6_STRE_CH]])</f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f>SUM(VEDA[[#This Row],[s7_STRE_CC]:[s11_STRE_CC]])</f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f>SUM(VEDA[[#This Row],[s13_BEND_HCC]:[s18_BEND_HCC]])</f>
        <v>0</v>
      </c>
      <c r="Y31">
        <v>0</v>
      </c>
      <c r="Z31">
        <v>0</v>
      </c>
      <c r="AA31">
        <v>0</v>
      </c>
      <c r="AB31">
        <v>0</v>
      </c>
      <c r="AC31">
        <f>SUM(VEDA[[#This Row],[s12_BEND_CCC]:[s21_BEND_CCC]])</f>
        <v>0</v>
      </c>
      <c r="AD31">
        <v>0</v>
      </c>
      <c r="AE31">
        <v>23</v>
      </c>
      <c r="AF31">
        <v>-2</v>
      </c>
      <c r="AG31">
        <v>-1</v>
      </c>
      <c r="AH31">
        <v>-4</v>
      </c>
      <c r="AI31">
        <v>1</v>
      </c>
      <c r="AJ31">
        <f>SUM(VEDA[[#This Row],[s22_TORS_HCCC]:[s27_TORS_HCCC]])</f>
        <v>17</v>
      </c>
      <c r="AK31">
        <v>5</v>
      </c>
      <c r="AL31">
        <v>0</v>
      </c>
      <c r="AM31">
        <v>78</v>
      </c>
      <c r="AN31">
        <f>SUM(VEDA[[#This Row],[s28_TORS_CCCC]:[s30_TORS_CCCC]])</f>
        <v>83</v>
      </c>
      <c r="AO31">
        <f>VEDA[[#This Row],[ν_CH]]+VEDA[[#This Row],[ν_CC]]+VEDA[[#This Row],[δ_HCC]]+VEDA[[#This Row],[δ_CCC]]+VEDA[[#This Row],[τ_HCCC]]+VEDA[[#This Row],[τ_CCCC]]</f>
        <v>100</v>
      </c>
    </row>
  </sheetData>
  <phoneticPr fontId="19" type="noConversion"/>
  <conditionalFormatting sqref="K2:K31">
    <cfRule type="colorScale" priority="6">
      <colorScale>
        <cfvo type="min"/>
        <cfvo type="max"/>
        <color rgb="FFFCFCFF"/>
        <color rgb="FF63BE7B"/>
      </colorScale>
    </cfRule>
  </conditionalFormatting>
  <conditionalFormatting sqref="Q2:Q31">
    <cfRule type="colorScale" priority="5">
      <colorScale>
        <cfvo type="min"/>
        <cfvo type="max"/>
        <color rgb="FFFCFCFF"/>
        <color rgb="FF63BE7B"/>
      </colorScale>
    </cfRule>
  </conditionalFormatting>
  <conditionalFormatting sqref="X2:X31">
    <cfRule type="colorScale" priority="4">
      <colorScale>
        <cfvo type="min"/>
        <cfvo type="max"/>
        <color rgb="FFFCFCFF"/>
        <color rgb="FF63BE7B"/>
      </colorScale>
    </cfRule>
  </conditionalFormatting>
  <conditionalFormatting sqref="AC2:AC31">
    <cfRule type="colorScale" priority="3">
      <colorScale>
        <cfvo type="min"/>
        <cfvo type="max"/>
        <color rgb="FFFCFCFF"/>
        <color rgb="FF63BE7B"/>
      </colorScale>
    </cfRule>
  </conditionalFormatting>
  <conditionalFormatting sqref="AJ2:AJ31">
    <cfRule type="colorScale" priority="2">
      <colorScale>
        <cfvo type="min"/>
        <cfvo type="max"/>
        <color rgb="FFFCFCFF"/>
        <color rgb="FF63BE7B"/>
      </colorScale>
    </cfRule>
  </conditionalFormatting>
  <conditionalFormatting sqref="AN2:AN3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DA70-4340-476F-86A1-07D20BAD7068}">
  <dimension ref="A1:AG31"/>
  <sheetViews>
    <sheetView workbookViewId="0"/>
  </sheetViews>
  <sheetFormatPr defaultRowHeight="14" x14ac:dyDescent="0.3"/>
  <cols>
    <col min="2" max="2" width="21.4140625" customWidth="1"/>
    <col min="3" max="3" width="18.9140625" customWidth="1"/>
    <col min="4" max="9" width="14.4140625" customWidth="1"/>
    <col min="10" max="12" width="14.25" customWidth="1"/>
    <col min="13" max="14" width="15.4140625" customWidth="1"/>
    <col min="15" max="15" width="17.1640625" customWidth="1"/>
    <col min="16" max="21" width="17.33203125" customWidth="1"/>
    <col min="22" max="24" width="17.1640625" customWidth="1"/>
    <col min="25" max="30" width="18.33203125" customWidth="1"/>
    <col min="31" max="33" width="18.164062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>
        <v>1</v>
      </c>
      <c r="B2">
        <v>3223.1696000000002</v>
      </c>
      <c r="C2">
        <v>3223.49</v>
      </c>
      <c r="D2">
        <v>0</v>
      </c>
      <c r="E2">
        <v>0</v>
      </c>
      <c r="F2">
        <v>0</v>
      </c>
      <c r="G2">
        <v>0</v>
      </c>
      <c r="H2">
        <v>99</v>
      </c>
      <c r="I2">
        <v>0</v>
      </c>
      <c r="J2">
        <v>0</v>
      </c>
      <c r="K2">
        <v>0</v>
      </c>
      <c r="L2">
        <v>-1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3">
      <c r="A3">
        <v>2</v>
      </c>
      <c r="B3">
        <v>3209.6325000000002</v>
      </c>
      <c r="C3">
        <v>3210.47</v>
      </c>
      <c r="D3">
        <v>0</v>
      </c>
      <c r="E3">
        <v>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3">
      <c r="A4">
        <v>3</v>
      </c>
      <c r="B4">
        <v>3209.6325000000002</v>
      </c>
      <c r="C4">
        <v>3210.45</v>
      </c>
      <c r="D4">
        <v>99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3">
      <c r="A5">
        <v>4</v>
      </c>
      <c r="B5">
        <v>3191.8910000000001</v>
      </c>
      <c r="C5">
        <v>3192.2</v>
      </c>
      <c r="D5">
        <v>0</v>
      </c>
      <c r="E5">
        <v>0</v>
      </c>
      <c r="F5">
        <v>0</v>
      </c>
      <c r="G5">
        <v>-11</v>
      </c>
      <c r="H5">
        <v>0</v>
      </c>
      <c r="I5">
        <v>89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3">
      <c r="A6">
        <v>5</v>
      </c>
      <c r="B6">
        <v>3191.8910000000001</v>
      </c>
      <c r="C6">
        <v>3192.19</v>
      </c>
      <c r="D6">
        <v>0</v>
      </c>
      <c r="E6">
        <v>0</v>
      </c>
      <c r="F6">
        <v>0</v>
      </c>
      <c r="G6">
        <v>-89</v>
      </c>
      <c r="H6">
        <v>0</v>
      </c>
      <c r="I6">
        <v>-11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3">
      <c r="A7">
        <v>6</v>
      </c>
      <c r="B7">
        <v>3182.2914999999998</v>
      </c>
      <c r="C7">
        <v>3182.59</v>
      </c>
      <c r="D7">
        <v>0</v>
      </c>
      <c r="E7">
        <v>0</v>
      </c>
      <c r="F7">
        <v>100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3">
      <c r="A8">
        <v>7</v>
      </c>
      <c r="B8">
        <v>1598.8987</v>
      </c>
      <c r="C8">
        <v>1599.51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49</v>
      </c>
      <c r="K8">
        <v>-9</v>
      </c>
      <c r="L8">
        <v>0</v>
      </c>
      <c r="M8">
        <v>-1</v>
      </c>
      <c r="N8">
        <v>0</v>
      </c>
      <c r="O8">
        <v>0</v>
      </c>
      <c r="P8">
        <v>0</v>
      </c>
      <c r="Q8">
        <v>32</v>
      </c>
      <c r="R8">
        <v>0</v>
      </c>
      <c r="S8">
        <v>0</v>
      </c>
      <c r="T8">
        <v>0</v>
      </c>
      <c r="U8">
        <v>-1</v>
      </c>
      <c r="V8">
        <v>-6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3">
      <c r="A9">
        <v>8</v>
      </c>
      <c r="B9">
        <v>1598.8987</v>
      </c>
      <c r="C9">
        <v>1599.51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6</v>
      </c>
      <c r="K9">
        <v>48</v>
      </c>
      <c r="L9">
        <v>0</v>
      </c>
      <c r="M9">
        <v>7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28</v>
      </c>
      <c r="V9">
        <v>2</v>
      </c>
      <c r="W9">
        <v>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3">
      <c r="A10">
        <v>9</v>
      </c>
      <c r="B10">
        <v>1532.8465000000001</v>
      </c>
      <c r="C10">
        <v>1533.43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</v>
      </c>
      <c r="N10">
        <v>0</v>
      </c>
      <c r="O10">
        <v>6</v>
      </c>
      <c r="P10">
        <v>-1</v>
      </c>
      <c r="Q10">
        <v>-1</v>
      </c>
      <c r="R10">
        <v>-76</v>
      </c>
      <c r="S10">
        <v>0</v>
      </c>
      <c r="T10">
        <v>1</v>
      </c>
      <c r="U10">
        <v>0</v>
      </c>
      <c r="V10">
        <v>0</v>
      </c>
      <c r="W10">
        <v>-3</v>
      </c>
      <c r="X10">
        <v>-7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3">
      <c r="A11">
        <v>10</v>
      </c>
      <c r="B11">
        <v>1532.8465000000001</v>
      </c>
      <c r="C11">
        <v>1533.4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-4</v>
      </c>
      <c r="N11">
        <v>0</v>
      </c>
      <c r="O11">
        <v>-1</v>
      </c>
      <c r="P11">
        <v>0</v>
      </c>
      <c r="Q11">
        <v>1</v>
      </c>
      <c r="R11">
        <v>0</v>
      </c>
      <c r="S11">
        <v>0</v>
      </c>
      <c r="T11">
        <v>-78</v>
      </c>
      <c r="U11">
        <v>-1</v>
      </c>
      <c r="V11">
        <v>-1</v>
      </c>
      <c r="W11">
        <v>0</v>
      </c>
      <c r="X11">
        <v>-14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3">
      <c r="A12">
        <v>11</v>
      </c>
      <c r="B12">
        <v>1435.4835</v>
      </c>
      <c r="C12">
        <v>1436.29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-98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3">
      <c r="A13">
        <v>12</v>
      </c>
      <c r="B13">
        <v>1319.2684999999999</v>
      </c>
      <c r="C13">
        <v>1319.75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65</v>
      </c>
      <c r="O13">
        <v>0</v>
      </c>
      <c r="P13">
        <v>0</v>
      </c>
      <c r="Q13">
        <v>0</v>
      </c>
      <c r="R13">
        <v>0</v>
      </c>
      <c r="S13">
        <v>35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3">
      <c r="A14">
        <v>13</v>
      </c>
      <c r="B14">
        <v>1247.1403</v>
      </c>
      <c r="C14">
        <v>1247.31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-28</v>
      </c>
      <c r="L14">
        <v>0</v>
      </c>
      <c r="M14">
        <v>-6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64</v>
      </c>
      <c r="V14">
        <v>-1</v>
      </c>
      <c r="W14">
        <v>-1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3">
      <c r="A15">
        <v>14</v>
      </c>
      <c r="B15">
        <v>1247.1403</v>
      </c>
      <c r="C15">
        <v>1247.3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-29</v>
      </c>
      <c r="K15">
        <v>2</v>
      </c>
      <c r="L15">
        <v>0</v>
      </c>
      <c r="M15">
        <v>4</v>
      </c>
      <c r="N15">
        <v>0</v>
      </c>
      <c r="O15">
        <v>0</v>
      </c>
      <c r="P15">
        <v>0</v>
      </c>
      <c r="Q15">
        <v>63</v>
      </c>
      <c r="R15">
        <v>0</v>
      </c>
      <c r="S15">
        <v>0</v>
      </c>
      <c r="T15">
        <v>0</v>
      </c>
      <c r="U15">
        <v>0</v>
      </c>
      <c r="V15">
        <v>1</v>
      </c>
      <c r="W15">
        <v>-1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3">
      <c r="A16">
        <v>15</v>
      </c>
      <c r="B16">
        <v>1237.2932000000001</v>
      </c>
      <c r="C16">
        <v>1237.48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35</v>
      </c>
      <c r="O16">
        <v>0</v>
      </c>
      <c r="P16">
        <v>0</v>
      </c>
      <c r="Q16">
        <v>0</v>
      </c>
      <c r="R16">
        <v>0</v>
      </c>
      <c r="S16">
        <v>-65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3">
      <c r="A17">
        <v>16</v>
      </c>
      <c r="B17">
        <v>1067.4649999999999</v>
      </c>
      <c r="C17">
        <v>1067.92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3">
      <c r="A18">
        <v>17</v>
      </c>
      <c r="B18">
        <v>1056.3901000000001</v>
      </c>
      <c r="C18">
        <v>1056.73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66</v>
      </c>
      <c r="N18">
        <v>0</v>
      </c>
      <c r="O18">
        <v>2</v>
      </c>
      <c r="P18">
        <v>0</v>
      </c>
      <c r="Q18">
        <v>0</v>
      </c>
      <c r="R18">
        <v>8</v>
      </c>
      <c r="S18">
        <v>0</v>
      </c>
      <c r="T18">
        <v>-16</v>
      </c>
      <c r="U18">
        <v>0</v>
      </c>
      <c r="V18">
        <v>2</v>
      </c>
      <c r="W18">
        <v>-1</v>
      </c>
      <c r="X18">
        <v>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3">
      <c r="A19">
        <v>18</v>
      </c>
      <c r="B19">
        <v>1056.3901000000001</v>
      </c>
      <c r="C19">
        <v>1056.71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3</v>
      </c>
      <c r="P19">
        <v>0</v>
      </c>
      <c r="Q19">
        <v>0</v>
      </c>
      <c r="R19">
        <v>-16</v>
      </c>
      <c r="S19">
        <v>0</v>
      </c>
      <c r="T19">
        <v>-4</v>
      </c>
      <c r="U19">
        <v>1</v>
      </c>
      <c r="V19">
        <v>0</v>
      </c>
      <c r="W19">
        <v>2</v>
      </c>
      <c r="X19">
        <v>74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3">
      <c r="A20">
        <v>19</v>
      </c>
      <c r="B20">
        <v>992.58299999999997</v>
      </c>
      <c r="C20">
        <v>993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8</v>
      </c>
      <c r="K20">
        <v>7</v>
      </c>
      <c r="L20">
        <v>92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3">
      <c r="A21">
        <v>20</v>
      </c>
      <c r="B21">
        <v>933.5249</v>
      </c>
      <c r="C21">
        <v>933.6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-82</v>
      </c>
      <c r="AC21">
        <v>0</v>
      </c>
      <c r="AD21">
        <v>0</v>
      </c>
      <c r="AE21">
        <v>6</v>
      </c>
      <c r="AF21">
        <v>-15</v>
      </c>
      <c r="AG21">
        <v>0</v>
      </c>
    </row>
    <row r="22" spans="1:33" x14ac:dyDescent="0.3">
      <c r="A22">
        <v>21</v>
      </c>
      <c r="B22">
        <v>931.24170000000004</v>
      </c>
      <c r="C22">
        <v>931.41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75</v>
      </c>
      <c r="AA22">
        <v>0</v>
      </c>
      <c r="AB22">
        <v>-2</v>
      </c>
      <c r="AC22">
        <v>-3</v>
      </c>
      <c r="AD22">
        <v>0</v>
      </c>
      <c r="AE22">
        <v>4</v>
      </c>
      <c r="AF22">
        <v>0</v>
      </c>
      <c r="AG22">
        <v>-16</v>
      </c>
    </row>
    <row r="23" spans="1:33" x14ac:dyDescent="0.3">
      <c r="A23">
        <v>22</v>
      </c>
      <c r="B23">
        <v>931.24170000000004</v>
      </c>
      <c r="C23">
        <v>931.4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</v>
      </c>
      <c r="AA23">
        <v>88</v>
      </c>
      <c r="AB23">
        <v>0</v>
      </c>
      <c r="AC23">
        <v>0</v>
      </c>
      <c r="AD23">
        <v>0</v>
      </c>
      <c r="AE23">
        <v>-8</v>
      </c>
      <c r="AF23">
        <v>0</v>
      </c>
      <c r="AG23">
        <v>0</v>
      </c>
    </row>
    <row r="24" spans="1:33" x14ac:dyDescent="0.3">
      <c r="A24">
        <v>23</v>
      </c>
      <c r="B24">
        <v>852.23140000000001</v>
      </c>
      <c r="C24">
        <v>852.72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96</v>
      </c>
      <c r="AD24">
        <v>1</v>
      </c>
      <c r="AE24">
        <v>0</v>
      </c>
      <c r="AF24">
        <v>0</v>
      </c>
      <c r="AG24">
        <v>0</v>
      </c>
    </row>
    <row r="25" spans="1:33" x14ac:dyDescent="0.3">
      <c r="A25">
        <v>24</v>
      </c>
      <c r="B25">
        <v>852.23140000000001</v>
      </c>
      <c r="C25">
        <v>852.7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-1</v>
      </c>
      <c r="AD25">
        <v>98</v>
      </c>
      <c r="AE25">
        <v>0</v>
      </c>
      <c r="AF25">
        <v>0</v>
      </c>
      <c r="AG25">
        <v>0</v>
      </c>
    </row>
    <row r="26" spans="1:33" x14ac:dyDescent="0.3">
      <c r="A26">
        <v>25</v>
      </c>
      <c r="B26">
        <v>684.1694</v>
      </c>
      <c r="C26">
        <v>684.48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3">
      <c r="A27">
        <v>26</v>
      </c>
      <c r="B27">
        <v>678.16520000000003</v>
      </c>
      <c r="C27">
        <v>678.46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-11</v>
      </c>
      <c r="AC27">
        <v>0</v>
      </c>
      <c r="AD27">
        <v>0</v>
      </c>
      <c r="AE27">
        <v>-7</v>
      </c>
      <c r="AF27">
        <v>83</v>
      </c>
      <c r="AG27">
        <v>0</v>
      </c>
    </row>
    <row r="28" spans="1:33" x14ac:dyDescent="0.3">
      <c r="A28">
        <v>27</v>
      </c>
      <c r="B28">
        <v>645.89260000000002</v>
      </c>
      <c r="C28">
        <v>646.16999999999996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-1</v>
      </c>
      <c r="L28">
        <v>0</v>
      </c>
      <c r="M28">
        <v>-8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-2</v>
      </c>
      <c r="V28">
        <v>86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3">
      <c r="A29">
        <v>28</v>
      </c>
      <c r="B29">
        <v>645.89260000000002</v>
      </c>
      <c r="C29">
        <v>646.16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-3</v>
      </c>
      <c r="K29">
        <v>-4</v>
      </c>
      <c r="L29">
        <v>0</v>
      </c>
      <c r="M29">
        <v>0</v>
      </c>
      <c r="N29">
        <v>0</v>
      </c>
      <c r="O29">
        <v>0</v>
      </c>
      <c r="P29">
        <v>0</v>
      </c>
      <c r="Q29">
        <v>-1</v>
      </c>
      <c r="R29">
        <v>0</v>
      </c>
      <c r="S29">
        <v>0</v>
      </c>
      <c r="T29">
        <v>0</v>
      </c>
      <c r="U29">
        <v>-3</v>
      </c>
      <c r="V29">
        <v>-1</v>
      </c>
      <c r="W29">
        <v>85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 x14ac:dyDescent="0.3">
      <c r="A30">
        <v>29</v>
      </c>
      <c r="B30">
        <v>411.98469999999998</v>
      </c>
      <c r="C30">
        <v>412.13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-2</v>
      </c>
      <c r="AA30">
        <v>12</v>
      </c>
      <c r="AB30">
        <v>-1</v>
      </c>
      <c r="AC30">
        <v>0</v>
      </c>
      <c r="AD30">
        <v>1</v>
      </c>
      <c r="AE30">
        <v>73</v>
      </c>
      <c r="AF30">
        <v>0</v>
      </c>
      <c r="AG30">
        <v>10</v>
      </c>
    </row>
    <row r="31" spans="1:33" x14ac:dyDescent="0.3">
      <c r="A31">
        <v>30</v>
      </c>
      <c r="B31">
        <v>411.98469999999998</v>
      </c>
      <c r="C31">
        <v>412.12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20</v>
      </c>
      <c r="AA31">
        <v>-1</v>
      </c>
      <c r="AB31">
        <v>1</v>
      </c>
      <c r="AC31">
        <v>3</v>
      </c>
      <c r="AD31">
        <v>1</v>
      </c>
      <c r="AE31">
        <v>-3</v>
      </c>
      <c r="AF31">
        <v>0</v>
      </c>
      <c r="AG31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Comparison_byFreq</vt:lpstr>
      <vt:lpstr>Comparison</vt:lpstr>
      <vt:lpstr>PED_manual</vt:lpstr>
      <vt:lpstr>TED_VEDA</vt:lpstr>
      <vt:lpstr>PED_VEDA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Chitiphat Auvichien</cp:lastModifiedBy>
  <dcterms:created xsi:type="dcterms:W3CDTF">2026-08-01T18:23:34Z</dcterms:created>
  <dcterms:modified xsi:type="dcterms:W3CDTF">2026-08-02T12:19:15Z</dcterms:modified>
</cp:coreProperties>
</file>